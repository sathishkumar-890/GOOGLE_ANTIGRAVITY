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075918-AE54-4C6A-B9FC-9837468A3C79}" xr6:coauthVersionLast="47" xr6:coauthVersionMax="47" xr10:uidLastSave="{00000000-0000-0000-0000-000000000000}"/>
  <bookViews>
    <workbookView xWindow="-120" yWindow="-120" windowWidth="20730" windowHeight="11160" xr2:uid="{49FCCB93-19FD-4AF7-9406-F0E3B972EA14}"/>
  </bookViews>
  <sheets>
    <sheet name="Allocation Sheet(12-09-2026)" sheetId="3" r:id="rId1"/>
  </sheets>
  <definedNames>
    <definedName name="_xlnm._FilterDatabase" localSheetId="0" hidden="1">'Allocation Sheet(12-09-2026)'!$A$6:$XFC$509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56" i="3" l="1"/>
  <c r="AQ121" i="3"/>
  <c r="AQ100" i="3"/>
  <c r="AQ34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tc={D351479A-324D-497F-A051-8026A6F4851B}</author>
    <author>tc={5F3CD28D-1E8A-4977-A158-E6FD16F498CB}</author>
    <author>tc={448388F4-C053-4BBD-BDC9-59A81658BD7D}</author>
  </authors>
  <commentList>
    <comment ref="AR189" authorId="0" shapeId="0" xr:uid="{D351479A-324D-497F-A051-8026A6F4851B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SOME PAGES ARE YARD PAGES WHICH ALREADY EXTRACTED.
</t>
        </r>
      </text>
    </comment>
    <comment ref="AR190" authorId="1" shapeId="0" xr:uid="{5F3CD28D-1E8A-4977-A158-E6FD16F498CB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SOME PAGES ARE YARD PAGES WHICH ALREADY EXTRACTED.
</t>
        </r>
      </text>
    </comment>
    <comment ref="AR272" authorId="2" shapeId="0" xr:uid="{448388F4-C053-4BBD-BDC9-59A81658BD7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MANUAL HAS SAME PAGES OF (FINAL DWG)HMD_4193_94_ ECS-600Bx1_REV.0_220916.pdf 98-100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F56A76-9705-48FE-93C2-C63038DE9DFD}" odcFile="C:\Users\Venkat\Downloads\query (23).iqy" keepAlive="1" name="query (23)" type="5" refreshedVersion="8" minRefreshableVersion="3" saveData="1">
    <dbPr connection="Provider=Microsoft.Office.List.OLEDB.2.0;Data Source=&quot;&quot;;ApplicationName=Excel;Version=12.0.0.0" command="&lt;LIST&gt;&lt;VIEWGUID&gt;{708F7969-C5EB-41A8-BE0B-6AC7264D6196}&lt;/VIEWGUID&gt;&lt;LISTNAME&gt;{A0A33FAE-2F13-422E-A1E8-46605CCC28B2}&lt;/LISTNAME&gt;&lt;LISTWEB&gt;https://dasoulutions-my.sharepoint.com/personal/venkat_dataanchor_world/_vti_bin&lt;/LISTWEB&gt;&lt;LISTSUBWEB&gt;&lt;/LISTSUBWEB&gt;&lt;ROOTFOLDER&gt;/personal/venkat%5fdataanchor%5fworld/Documents/Data%20Anchor/VESSELS/HANA%2dI/MANUALS/VSL26%5fHANA%2d1%5f&lt;/ROOTFOLDER&gt;&lt;/LIST&gt;" commandType="5"/>
  </connection>
  <connection id="2" xr16:uid="{00000000-0015-0000-FFFF-FFFF00000000}" odcFile="C:\Users\Venkat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{708F7969-C5EB-41A8-BE0B-6AC7264D6196}&lt;/VIEWGUID&gt;&lt;LISTNAME&gt;{A0A33FAE-2F13-422E-A1E8-46605CCC28B2}&lt;/LISTNAME&gt;&lt;LISTWEB&gt;https://dasoulutions-my.sharepoint.com/personal/venkat_dataanchor_world/_vti_bin&lt;/LISTWEB&gt;&lt;LISTSUBWEB&gt;&lt;/LISTSUBWEB&gt;&lt;ROOTFOLDER&gt;/personal/venkat%5fdataanchor%5fworld/Documents/Data%20Anchor/VESSELS/DRACO%20%2d%20DRA/VSL10%20Draco%20FINAL&lt;/ROOTFOLDER&gt;&lt;/LIST&gt;" commandType="5"/>
  </connection>
  <connection id="3" xr16:uid="{00000000-0015-0000-FFFF-FFFF01000000}" odcFile="C:\Users\Venkat\Downloads\query (4).iqy" keepAlive="1" name="query (4)1" type="5" refreshedVersion="8" minRefreshableVersion="3" saveData="1">
    <dbPr connection="Provider=Microsoft.Office.List.OLEDB.2.0;Data Source=&quot;&quot;;ApplicationName=Excel;Version=12.0.0.0" command="&lt;LIST&gt;&lt;VIEWGUID&gt;{708F7969-C5EB-41A8-BE0B-6AC7264D6196}&lt;/VIEWGUID&gt;&lt;LISTNAME&gt;{A0A33FAE-2F13-422E-A1E8-46605CCC28B2}&lt;/LISTNAME&gt;&lt;LISTWEB&gt;https://dasoulutions-my.sharepoint.com/personal/venkat_dataanchor_world/_vti_bin&lt;/LISTWEB&gt;&lt;LISTSUBWEB&gt;&lt;/LISTSUBWEB&gt;&lt;ROOTFOLDER&gt;/personal/venkat%5fdataanchor%5fworld/Documents/Data%20Anchor/VESSELS/DRACO%20%2d%20DRA/VSL10%20Draco%20FINAL&lt;/ROOTFOLDER&gt;&lt;/LIST&gt;" commandType="5"/>
  </connection>
</connections>
</file>

<file path=xl/sharedStrings.xml><?xml version="1.0" encoding="utf-8"?>
<sst xmlns="http://schemas.openxmlformats.org/spreadsheetml/2006/main" count="6506" uniqueCount="1321">
  <si>
    <t>Client</t>
  </si>
  <si>
    <t>TSAKOS SHIPPING_DANAOS GREECE</t>
  </si>
  <si>
    <t>PROJECT ASSIGNED DATE</t>
  </si>
  <si>
    <t xml:space="preserve">BATCH -1 </t>
  </si>
  <si>
    <t>Vessel Name</t>
  </si>
  <si>
    <t>C.V. IRENES WISDOM</t>
  </si>
  <si>
    <t>BATCH - 1</t>
  </si>
  <si>
    <t xml:space="preserve">Code: </t>
  </si>
  <si>
    <t>TYPE</t>
  </si>
  <si>
    <t>Fully Cellular Container Ship</t>
  </si>
  <si>
    <t>S.no</t>
  </si>
  <si>
    <t>PARENT FOLDER(PATH)</t>
  </si>
  <si>
    <t>MANUAL HYPERLINK</t>
  </si>
  <si>
    <t>BATCH</t>
  </si>
  <si>
    <t>ITEM TYPE</t>
  </si>
  <si>
    <t>FILE TYPE</t>
  </si>
  <si>
    <t>ASSIGNEE</t>
  </si>
  <si>
    <t>HULL NO.</t>
  </si>
  <si>
    <t>IMO NO.</t>
  </si>
  <si>
    <t>NO. OF PAGES</t>
  </si>
  <si>
    <t>MANUAL TYPE</t>
  </si>
  <si>
    <t>JOB/SPARE PAGE AVAILABILITY</t>
  </si>
  <si>
    <t>FUNCTION</t>
  </si>
  <si>
    <t>MACHINERY NAME</t>
  </si>
  <si>
    <t>STRUCTURE EXTRACTION</t>
  </si>
  <si>
    <t>STRUCTURE EXTRACTION STATUS</t>
  </si>
  <si>
    <t>JOB PAGE MARKING ALLOCATION</t>
  </si>
  <si>
    <t>JOB PAGE MARKING</t>
  </si>
  <si>
    <t>ORIGINAL MANUAL</t>
  </si>
  <si>
    <t>REMARKS</t>
  </si>
  <si>
    <t>SERIAL NO</t>
  </si>
  <si>
    <t>JOB EXTRACTION ALLOCATION</t>
  </si>
  <si>
    <t>JOB EXTRACTION START DATE</t>
  </si>
  <si>
    <t>JOB EXTRACTION END DATE</t>
  </si>
  <si>
    <t>JOB EXTRACTION COUNT</t>
  </si>
  <si>
    <t>JOB EXTRACTION STATUS</t>
  </si>
  <si>
    <t>JOB  CROSS QC ALLOCATION</t>
  </si>
  <si>
    <t>JOB CROSS QC START DATE</t>
  </si>
  <si>
    <t>JOB CROSS QC END DATE</t>
  </si>
  <si>
    <t>JOB CROSS QC COUNT</t>
  </si>
  <si>
    <t>JOB CROSS QC STATUS</t>
  </si>
  <si>
    <t>JOB  1ST LEVEL QC ALLOCATION</t>
  </si>
  <si>
    <t>JOB 1ST LEVEL QC START DATE</t>
  </si>
  <si>
    <t>JOB 1ST LEVEL QC END DATE</t>
  </si>
  <si>
    <t>JOB 1ST LEVEL QC COUNT</t>
  </si>
  <si>
    <t>JOB 1ST LEVEL QC STATUS</t>
  </si>
  <si>
    <t>SPARE PAGE MARKING ASSIGNEE</t>
  </si>
  <si>
    <t>SPARE (REMARK)</t>
  </si>
  <si>
    <t>SPARE PAGE MARKING</t>
  </si>
  <si>
    <t>SPARE EXTRACTION</t>
  </si>
  <si>
    <t>SPARE EXTRACTION START DATE</t>
  </si>
  <si>
    <t>SPARE EXTRACTION END DATE</t>
  </si>
  <si>
    <t>SPARE EXTRACTION COUNT</t>
  </si>
  <si>
    <t>SPARE EXTRACTION STATUS</t>
  </si>
  <si>
    <t>SPARE EXTRACTION FILE LINKS</t>
  </si>
  <si>
    <t>SPARE CROSS QC</t>
  </si>
  <si>
    <t>SPARE CROSS QC STARTING DATE</t>
  </si>
  <si>
    <t>SPARE CROSS QC END DATE</t>
  </si>
  <si>
    <t>SPARE CROSS QC COUNT</t>
  </si>
  <si>
    <t>SPARE CROSS QC STATUS</t>
  </si>
  <si>
    <t>SPARE EXTRACTION 2ND LEVEL QC</t>
  </si>
  <si>
    <t>SPARE EXTRACTION 2ND LVELE QC START DATE</t>
  </si>
  <si>
    <t>SPARE EXTRACTION 2ND LEVEL QC END DATE</t>
  </si>
  <si>
    <t>SPARE EXTRACTION 2ND LEVEL QC COUNT</t>
  </si>
  <si>
    <t>SPARE EXTRACTION 2ND LEVEL QC STATUS</t>
  </si>
  <si>
    <t>FILE NAME</t>
  </si>
  <si>
    <t>FILE NAME (HYPERLINK)</t>
  </si>
  <si>
    <t>sites/ANCHOOREDDATASOLUTIONS/Shared Documents/DATA ANCHOR/VESSELS/DANAOS - GREECE/TSAKOS SHIPPING (10-09-2026)/C.V. IRENES WISDOM_203_(10-09-2026)/MANUALS</t>
  </si>
  <si>
    <t>2. IRENES WISDOM</t>
  </si>
  <si>
    <t>Batch - 1</t>
  </si>
  <si>
    <t>Folder</t>
  </si>
  <si>
    <t>C.V. IRENES WISDOM_MANUAL_LISTING.xlsx</t>
  </si>
  <si>
    <t>Item</t>
  </si>
  <si>
    <t>Excel</t>
  </si>
  <si>
    <t>N/A</t>
  </si>
  <si>
    <t>Other Format</t>
  </si>
  <si>
    <t>No Spares</t>
  </si>
  <si>
    <t>DOCUMENTATION</t>
  </si>
  <si>
    <t>MANUAL LISTING</t>
  </si>
  <si>
    <t>sites/ANCHOOREDDATASOLUTIONS/Shared Documents/DATA ANCHOR/VESSELS/DANAOS - GREECE/TSAKOS SHIPPING (10-09-2026)/C.V. IRENES WISDOM_203_(10-09-2026)/MANUALS/2. IRENES WISDOM</t>
  </si>
  <si>
    <t>4. IRENES WISDOM-RULE</t>
  </si>
  <si>
    <t>sites/ANCHOOREDDATASOLUTIONS/Shared Documents/DATA ANCHOR/VESSELS/DANAOS - GREECE/TSAKOS SHIPPING (10-09-2026)/C.V. IRENES WISDOM_203_(10-09-2026)/MANUALS/2. IRENES WISDOM/4. IRENES WISDOM-RULE</t>
  </si>
  <si>
    <t>1.Basic</t>
  </si>
  <si>
    <t>2.Hull</t>
  </si>
  <si>
    <t>3.Hull Outfitting</t>
  </si>
  <si>
    <t>4.Accommodation</t>
  </si>
  <si>
    <t>4193 FINAL LIST.pdf</t>
  </si>
  <si>
    <t>PDF</t>
  </si>
  <si>
    <t>4193/4194/4232/4233/4234/4235</t>
  </si>
  <si>
    <t>No Data</t>
  </si>
  <si>
    <t>5.Hull Piping</t>
  </si>
  <si>
    <t>6.Machinery</t>
  </si>
  <si>
    <t>7.Electric</t>
  </si>
  <si>
    <t>sites/ANCHOOREDDATASOLUTIONS/Shared Documents/DATA ANCHOR/VESSELS/DANAOS - GREECE/TSAKOS SHIPPING (10-09-2026)/C.V. IRENES WISDOM_203_(10-09-2026)/MANUALS/2. IRENES WISDOM/4. IRENES WISDOM-RULE/1.Basic</t>
  </si>
  <si>
    <t>B-1_FINAL DRAWING &amp; MANUAL LIST.pdf</t>
  </si>
  <si>
    <t>B-10_BALLAST WATER MANAGEMENT PLAN.pdf</t>
  </si>
  <si>
    <t>Primary Manual</t>
  </si>
  <si>
    <t>Spares</t>
  </si>
  <si>
    <t>BALLAST WATER TREATMENT SYSTEM</t>
  </si>
  <si>
    <t>BWMS PLAN</t>
  </si>
  <si>
    <t>Saurabhi</t>
  </si>
  <si>
    <t xml:space="preserve">105, 106, 107, </t>
  </si>
  <si>
    <t>Kirthika</t>
  </si>
  <si>
    <t>DONE</t>
  </si>
  <si>
    <t>KIRTHIKA_B-10_BALLAST WATER MANAGEMENT PLAN.pdf.xlsx</t>
  </si>
  <si>
    <t>Radhika</t>
  </si>
  <si>
    <t>RADHIKA_KIRTHIKA_B-10_BALLAST WATER MANAGEMENT PLAN.pdf</t>
  </si>
  <si>
    <t>https://dasoulutions.sharepoint.com/:x:/r/sites/ANCHOOREDDATASOLUTIONS/_layouts/15/Doc.aspx?sourcedoc=%7BC2E9BCBA-CE38-41E8-92E1-5182A26AA575%7D&amp;file=KIRTHIKA_B-10_BALLAST%20WATER%20MANAGEMENT%20PLAN.pdf.xlsx&amp;action=default&amp;mobileredirect=true</t>
  </si>
  <si>
    <t>B-11_DAMAGE CONTROL BOOKLET.pdf</t>
  </si>
  <si>
    <t>STABILITY DOCUMENTATION</t>
  </si>
  <si>
    <t>DAMAGE CONTROL BOOKLET</t>
  </si>
  <si>
    <t>B-12_FINAL TRIM &amp; STABILITY BOOKLET.pdf</t>
  </si>
  <si>
    <t>FINAL TRIM &amp; STABILITY BOOKLET</t>
  </si>
  <si>
    <t>B-13_FINAL DAMAGE STABILITY CALCULATION(SOLAS).pdf</t>
  </si>
  <si>
    <t>DAMAGE STABILITY CALCULATION</t>
  </si>
  <si>
    <t>B-14_VISIBILITY CALCULATION(ACC. TO SOLAS).pdf</t>
  </si>
  <si>
    <t>4193/4194</t>
  </si>
  <si>
    <t>9953391/9953561</t>
  </si>
  <si>
    <t>VISIBILITY CALCULATION</t>
  </si>
  <si>
    <t>B-15_VISIBILITY CALCULATION(PANAMA).pdf</t>
  </si>
  <si>
    <t>B-16_TANK CALIBRATION TABLE.pdf</t>
  </si>
  <si>
    <t>TECHNICAL COMPLIANCE DOCUMENTS</t>
  </si>
  <si>
    <t>TANK CALIBERATION</t>
  </si>
  <si>
    <t>B-17_EEDI TECHNICAL FILE.pdf</t>
  </si>
  <si>
    <t>EEDI</t>
  </si>
  <si>
    <t>B-18_LOADING COMPUTER(FOR OWNER APPROVAL).pdf</t>
  </si>
  <si>
    <t>ELECTRONIC EQUIPMENT</t>
  </si>
  <si>
    <t>LAODING COMPUTER</t>
  </si>
  <si>
    <t>B-19_RESULT OF INCLINING EXPERI. &amp; DWT. MEASURE..pdf</t>
  </si>
  <si>
    <t>VESSEL ARRANGEMENT PLANS</t>
  </si>
  <si>
    <t>INCLINING EXPERI. &amp; DWT. MEASURE</t>
  </si>
  <si>
    <t>B-2_GENERAL ARRANGEMENT.pdf</t>
  </si>
  <si>
    <t>GA PLAN</t>
  </si>
  <si>
    <t>B-20_RESULT OF SEA TRIAL.pdf</t>
  </si>
  <si>
    <t>REGULATORY COMPLIANCE DOCUMENTS</t>
  </si>
  <si>
    <t>SEA TRIAL</t>
  </si>
  <si>
    <t>B-21_INVENTORY OF HAZARDOUS MATERIALS (IHM).pdf</t>
  </si>
  <si>
    <t>HAZARDOUS MATERIAL</t>
  </si>
  <si>
    <t>B-22_MANEUVERING BOOKLET.pdf</t>
  </si>
  <si>
    <t>STRUCTURAL DOCUMENT</t>
  </si>
  <si>
    <t>MANEUVERING BOOKLET</t>
  </si>
  <si>
    <t>B-23_DATA BOOKLETS (MACHINERY PARTICULAR LIST).pdf</t>
  </si>
  <si>
    <t>MACHINERY INFORMATION</t>
  </si>
  <si>
    <t>MACHINERY PARTICULARS</t>
  </si>
  <si>
    <t>B-3_CAPACITY PLAN &amp; DEADWEIGHT SCALE.pdf</t>
  </si>
  <si>
    <t>CAPACITY PLAN</t>
  </si>
  <si>
    <t>B-4_DOCKING PLAN.pdf</t>
  </si>
  <si>
    <t>DOCKING PLAN</t>
  </si>
  <si>
    <t>B-5_DANGEROUS ZONE PLAN.pdf</t>
  </si>
  <si>
    <t>DANGEROUS ZONE PLAN</t>
  </si>
  <si>
    <t>B-6_DAMAGE CONTROL PLAN.pdf</t>
  </si>
  <si>
    <t>9953391/9953561/9964132/9964144/9964156/9964168</t>
  </si>
  <si>
    <t>DAMAGE CONTROL PLAN</t>
  </si>
  <si>
    <t>B-7_DRAFT MARK PLAN.pdf</t>
  </si>
  <si>
    <t>DRAFT MARK PLAN</t>
  </si>
  <si>
    <t>B-8_FREEBOARD MARK PLAN.pdf</t>
  </si>
  <si>
    <t>FREEBOARD MARK PLAN</t>
  </si>
  <si>
    <t>B-9_IMO NUMBER &amp; NET TONNAGE MARK PLAN.pdf</t>
  </si>
  <si>
    <t>IMO NUMBER &amp; NET TONNAGE MARK PLAN</t>
  </si>
  <si>
    <t>sites/ANCHOOREDDATASOLUTIONS/Shared Documents/DATA ANCHOR/VESSELS/DANAOS - GREECE/TSAKOS SHIPPING (10-09-2026)/C.V. IRENES WISDOM_203_(10-09-2026)/MANUALS/2. IRENES WISDOM/4. IRENES WISDOM-RULE/2.Hull</t>
  </si>
  <si>
    <t>H-1_MIDSHIP SECTION.pdf</t>
  </si>
  <si>
    <t>MIDSHIP(STRUCTURAL ARRANGEMENT)</t>
  </si>
  <si>
    <t>H-10_STUFFING BOX FOR RUDDER STOCK.pdf</t>
  </si>
  <si>
    <t>Rudder Stock</t>
  </si>
  <si>
    <t>RUDDER STOCK(STRUCTURAL ARRANGEMENT)</t>
  </si>
  <si>
    <t>Haresh</t>
  </si>
  <si>
    <t>H-11_STEERING GEAR SEAT.pdf</t>
  </si>
  <si>
    <t>STRUCTURE-HULL, DECK &amp; ACCOMMODATION</t>
  </si>
  <si>
    <t>STEERING GEAR(STRUCTURAL ARRANGEMENT)</t>
  </si>
  <si>
    <t>H-12_DOUBLE BOTTOM CONST. IN ENGINE ROOM.pdf</t>
  </si>
  <si>
    <t>E/R DOUBE BOTTOM(STRUCTURAL ARRANGEMENT)</t>
  </si>
  <si>
    <t>H-13_ENGINE ROOM CONSTRUCTION.pdf</t>
  </si>
  <si>
    <t>E/R (STRUCTURAL ARRANGEMENT)</t>
  </si>
  <si>
    <t>H-14_INTERMEDIATE SHAFT BEARING SEAT.pdf</t>
  </si>
  <si>
    <t>INTERMEDIATE SHAFT BEARING(STRUCTURAL ARRANGEMENT)</t>
  </si>
  <si>
    <t>Saranya</t>
  </si>
  <si>
    <t>H-15_DIESEL GENERATOR SEAT.pdf</t>
  </si>
  <si>
    <t>DIESEL GENERATOR</t>
  </si>
  <si>
    <t>DIESEL GENERATOR ENGINE(STRUCTURAL ARRANGEMENT)</t>
  </si>
  <si>
    <t>Aiswariya</t>
  </si>
  <si>
    <t>AISWARIYA_H-15_DIESEL GENERATOR SEAT.pdf.xlsx</t>
  </si>
  <si>
    <t>Karthika</t>
  </si>
  <si>
    <t>H-16_AIR COMPRESSOR SEAT.pdf</t>
  </si>
  <si>
    <t>AIR COMPRESSOR(STRUCTURAL ARRANGEMENT)</t>
  </si>
  <si>
    <t>H-17_DOUBLE BOTTOM CONST.pdf</t>
  </si>
  <si>
    <t>DOUBLE BOTTOM(STRUCTURAL ARRANGEMENT)</t>
  </si>
  <si>
    <t>H-18_CARGO HOLD CONST.pdf</t>
  </si>
  <si>
    <t>CARGO HOLD(STRUCTURAL ARRANGEMENT)</t>
  </si>
  <si>
    <t>H-19_CARGO HOLD TRANS. BULKHEAD CONST.pdf</t>
  </si>
  <si>
    <t>CARGO HOLD BULK HEAD(STRUCTURAL ARRANGEMENT)</t>
  </si>
  <si>
    <t>H-2_CONSTRUCTION PROFILE &amp; DECK PLAN .pdf</t>
  </si>
  <si>
    <t>CONSTRUCTION PROFILE &amp; DECK PLAN(STRUCTURAL ARRANGEMENT)</t>
  </si>
  <si>
    <t>H-20_CELL GUIDE CONST.pdf</t>
  </si>
  <si>
    <t>CARGO CONTAINER SYSTEM</t>
  </si>
  <si>
    <t>CONTAINERS CELL GUIDE (STRUCTURAL ARRANGEMENT)</t>
  </si>
  <si>
    <t>H-21_HATCH COAMING CONSTRUCTION.pdf</t>
  </si>
  <si>
    <t>HOLDS</t>
  </si>
  <si>
    <t>CARGO HATCH(STRUCTURAL ARRANGEMENT)</t>
  </si>
  <si>
    <t>H-22_FORE END &amp; F'CLE DECK CONSTRUCTION(INCL. BULWARK).pdf</t>
  </si>
  <si>
    <t>FORE END &amp; F'CLE DECK(STRUCTURAL ARRANGEMENT)</t>
  </si>
  <si>
    <t>H-23_WINCH &amp; WINDLASS SEAT.pdf</t>
  </si>
  <si>
    <t>WINDLASS</t>
  </si>
  <si>
    <t>WINCH &amp; WINDLASS(STRUCTURAL ARRANGEMENT)</t>
  </si>
  <si>
    <t>H-24_STANDARD OF HULL STRUCTURAL DETAIL.pdf</t>
  </si>
  <si>
    <t>HULL STRUCTURE</t>
  </si>
  <si>
    <t xml:space="preserve">32-54, 56, 57, 59, 61, 62, 64-74, 84, 89-105, </t>
  </si>
  <si>
    <t>Sandhya</t>
  </si>
  <si>
    <t>H-25_I.C.C.P SYSTEM(IMPRESSED CURRENT CATHODIC PROTECTION).pdf</t>
  </si>
  <si>
    <t>ICCP SYSTEM</t>
  </si>
  <si>
    <t>ICCP</t>
  </si>
  <si>
    <t>48-55, 57, 58</t>
  </si>
  <si>
    <t>H-26_PAINTING SPECIFICATION.pdf</t>
  </si>
  <si>
    <t>PAINTING</t>
  </si>
  <si>
    <t>H-27_CATHODIC PROTECTION FOR W.B TANK.pdf</t>
  </si>
  <si>
    <t>Cathodic Protection</t>
  </si>
  <si>
    <t>CATHODIC PROTECTION</t>
  </si>
  <si>
    <t>H-3_SHELL EXPANSION.pdf</t>
  </si>
  <si>
    <t>SHELL EXPANSION(STRUCTURAL ARRANGEMENT)</t>
  </si>
  <si>
    <t>H-4_TANK TEST PLAN.pdf</t>
  </si>
  <si>
    <t>CONSTRUCTION PROFILE &amp; DECK PLAN</t>
  </si>
  <si>
    <t>H-5_ARRG'T OF BTM PLUG &amp; BHD MARK.pdf</t>
  </si>
  <si>
    <t>BTM PLUG &amp; BHD MARK(STRUCTURAL ARRANGEMENT)</t>
  </si>
  <si>
    <t>H-6_ARRG'T OF MARK FOR IN-WATER SURVEY.pdf</t>
  </si>
  <si>
    <t>MARK FOR IN-WATER SURVEY(STRUCTURAL ARRANGEMENT)</t>
  </si>
  <si>
    <t>H-7_AFT END CONSTRUCTION.pdf</t>
  </si>
  <si>
    <t>9964132/9964144/9964156/9964168</t>
  </si>
  <si>
    <t>AFT END(STRUCTURAL ARRANGEMENT)</t>
  </si>
  <si>
    <t>H-8_STERN FRAME CONSTRUCTION(Incl. RUDDER STOCK TRUNK).pdf</t>
  </si>
  <si>
    <t>RUDDER STOCK &amp; STERN FRAME</t>
  </si>
  <si>
    <t>H-9_RUDDER &amp; R_STOCK CONSTRUCTION.pdf</t>
  </si>
  <si>
    <t>Rudder</t>
  </si>
  <si>
    <t>RUDDER</t>
  </si>
  <si>
    <t>5, 6, 16, 17, 18</t>
  </si>
  <si>
    <t>sites/ANCHOOREDDATASOLUTIONS/Shared Documents/DATA ANCHOR/VESSELS/DANAOS - GREECE/TSAKOS SHIPPING (10-09-2026)/C.V. IRENES WISDOM_203_(10-09-2026)/MANUALS/2. IRENES WISDOM/4. IRENES WISDOM-RULE/3.Hull Outfitting</t>
  </si>
  <si>
    <t>4193_Loading Plan for 45FT Pallet Wide High Cube CNTR.pdf</t>
  </si>
  <si>
    <t>LOADING PLAN</t>
  </si>
  <si>
    <t>F-1_VENTILATION DIAGRAM FOR HULL PART.pdf</t>
  </si>
  <si>
    <t>HULL VENTILLATION(GENERAL ARRANGEMENT)</t>
  </si>
  <si>
    <t>F-10_ARRG'T OF LIFE BOAT HANDLING.PDF</t>
  </si>
  <si>
    <t>LIFE BOATS</t>
  </si>
  <si>
    <t>LIFEBOAT(STRUCTURAL ARRANGEMENT)</t>
  </si>
  <si>
    <t>to be extracted later in case the spares are not available for these equipments.</t>
  </si>
  <si>
    <t>F-11_ARRG'T OF RESCUE BOAT &amp; LIFE RAFT HANDLING.pdf</t>
  </si>
  <si>
    <t>LIFE RAFTS</t>
  </si>
  <si>
    <t>RESCUE BOAT &amp; LIFE RAFT(STRUCTURAL ARRANGEMENT)</t>
  </si>
  <si>
    <t>F-12_ARRG'T OF HULL-OUTFITTINGS IN CARGO HOLD.pdf</t>
  </si>
  <si>
    <t>CARGO HOLD FITTINGS(STRUCTURAL ARRANGEMENT)</t>
  </si>
  <si>
    <t>F-13_ARRG'T OF HULL-OUTFITTINGS ON UPPER DECK.pdf</t>
  </si>
  <si>
    <t>DECK FITTINGS(STRUCTURAL ARRANGEMENT)</t>
  </si>
  <si>
    <t>F-14_ARRG'T OF CONTAINER STOOL ON DECK.pdf</t>
  </si>
  <si>
    <t>CONTAINER STOOL(STRUCTURAL ARRANGEMENT)</t>
  </si>
  <si>
    <t>F-15_NON SKID PAINT ARRG'T ON DECK.pdf</t>
  </si>
  <si>
    <t>DECK(STRUCTURAL ARRANGEMENT)</t>
  </si>
  <si>
    <t>F-16_ARRG'T OF HULL-OUTFITTINGS FOR FORE SHIP(INCL.BOW THRUSTER ROOM).pdf</t>
  </si>
  <si>
    <t>FWD HULL FITTINGS(STRUCTURAL ARRANGEMENT)</t>
  </si>
  <si>
    <t>F-17_ARRG'T OF ANCHOR HANDLING SYSTEM.pdf</t>
  </si>
  <si>
    <t>ANCHOR HANDLING SYSTEM(STRUCTURAL ARRANGEMENT)</t>
  </si>
  <si>
    <t>F-18_ARRG'T &amp; DET. OF FORE MAST.pdf</t>
  </si>
  <si>
    <t>FORE MAST(STRUCTURAL ARRANGEMENT)</t>
  </si>
  <si>
    <t>F-19_ONBOARD TEST PROCEDURE(OUTFITTING PART).pdf</t>
  </si>
  <si>
    <t>Test Procedures</t>
  </si>
  <si>
    <t>DAVIT &amp; CRANE TEST PROCEDURE</t>
  </si>
  <si>
    <t>F-2_ARRNT OF MOORING SYSTEM.pdf</t>
  </si>
  <si>
    <t>MOORING WINCH</t>
  </si>
  <si>
    <t>MOORING SYSTEM</t>
  </si>
  <si>
    <t>F-20_STANDARD OF HULL OUTFITTINGS(ANCHOR_MOORING SYS).pdf</t>
  </si>
  <si>
    <t>MOORING SYSTEM FITTNGS</t>
  </si>
  <si>
    <t>F-21_STANDARD OF HULL OUTFITTINGS(ACCESS_TRAFFIC_VENT).pdf</t>
  </si>
  <si>
    <t>ACCESS VENT FITTINGS</t>
  </si>
  <si>
    <t>5, 6, 9-16, 19, 25, 27, 29-31, 33, 35, 37, 39, 41, 45, 48, 50-59, 63-67, 69, 71-75, 78, 88, 94, 95, 100, 102, 105, 111-117, 119-121, 123-129</t>
  </si>
  <si>
    <t>F-22_STANDARD OF HULL OUTFITTINGS(MISCELLANEOUS ITEM).pdf</t>
  </si>
  <si>
    <t>HULL MISC FITINGS</t>
  </si>
  <si>
    <t>F-23_INVENTORY LIST(OUTFITTING PART).pdf</t>
  </si>
  <si>
    <t>SPARES &amp; INVENTORY DOCUMENT</t>
  </si>
  <si>
    <t>YARD LIST</t>
  </si>
  <si>
    <t>F-24_SPARE PART LIST(OUTFITTING PART).pdf</t>
  </si>
  <si>
    <t>Yard Spares</t>
  </si>
  <si>
    <t>5, 6, 8, 10, 11, 14-37, 39, 41, 45-60, 62, 64, 65, 67, 70, 72, 74</t>
  </si>
  <si>
    <t>F-25_TRAINING MANUAL.pdf</t>
  </si>
  <si>
    <t>LSA/FFA Equipments</t>
  </si>
  <si>
    <t>LSA TRAINING MANUAL</t>
  </si>
  <si>
    <t>52, 55, 56, 57, 58, 102, 131, 148, 155, 266, 278, 280, 282-288, 354, 364, 379, 380, 430-432, This file will compared to the main manuals please compare and check if not taken there then only take here.</t>
  </si>
  <si>
    <t>Sathyavani</t>
  </si>
  <si>
    <t>F-26 STEERING GEAR.pdf</t>
  </si>
  <si>
    <t>STEERING SYSTEM</t>
  </si>
  <si>
    <t>STEERING GEAR</t>
  </si>
  <si>
    <t>59, 62, 63, 64, 66, 67, 69, 71, 72, 73, 75, 76, 77, 85, 214</t>
  </si>
  <si>
    <t>SARANYA_F-26 STEERING GEAR.pdf.xlsx</t>
  </si>
  <si>
    <t>RADHIKA</t>
  </si>
  <si>
    <t>RADHIKA_SARANYA_F-26 STEERING GEAR.pdf</t>
  </si>
  <si>
    <t>https://dasoulutions.sharepoint.com/:x:/r/sites/ANCHOOREDDATASOLUTIONS/_layouts/15/Doc.aspx?sourcedoc=%7B90A262BB-DDBA-4591-84BD-DB2D23A08A7C%7D&amp;file=SARANYA_F-26%20STEERING%20GEAR.pdf.xlsx&amp;action=default&amp;mobileredirect=true</t>
  </si>
  <si>
    <t>F-27 BOW(TUNNEL) THRUSTER.pdf</t>
  </si>
  <si>
    <t>H4193</t>
  </si>
  <si>
    <t>PROPELLER, THRUSTER, STERN TUBE, SHAFTING</t>
  </si>
  <si>
    <t>BOW THRUSTER</t>
  </si>
  <si>
    <r>
      <rPr>
        <sz val="11"/>
        <color rgb="FF000000"/>
        <rFont val="Calibri"/>
      </rPr>
      <t>12, 19, 21, 22, 24, 27, 77, 78, 79, (</t>
    </r>
    <r>
      <rPr>
        <b/>
        <sz val="11"/>
        <color rgb="FF000000"/>
        <rFont val="Calibri"/>
      </rPr>
      <t xml:space="preserve">88-93-if the subsystem not available in the main spares then take it) </t>
    </r>
    <r>
      <rPr>
        <sz val="11"/>
        <color rgb="FF000000"/>
        <rFont val="Calibri"/>
      </rPr>
      <t>182, (</t>
    </r>
    <r>
      <rPr>
        <b/>
        <sz val="11"/>
        <color rgb="FF000000"/>
        <rFont val="Calibri"/>
      </rPr>
      <t xml:space="preserve">183-195-if the  single entry not availble in page 182 then take it) </t>
    </r>
    <r>
      <rPr>
        <sz val="11"/>
        <color rgb="FF000000"/>
        <rFont val="Calibri"/>
      </rPr>
      <t>231, 232,</t>
    </r>
    <r>
      <rPr>
        <b/>
        <sz val="11"/>
        <color rgb="FF000000"/>
        <rFont val="Calibri"/>
      </rPr>
      <t xml:space="preserve"> </t>
    </r>
    <r>
      <rPr>
        <sz val="11"/>
        <color rgb="FF000000"/>
        <rFont val="Calibri"/>
      </rPr>
      <t>284-299, 308-314</t>
    </r>
  </si>
  <si>
    <t>Jyotshna</t>
  </si>
  <si>
    <t>JYOTSHNA_F-27 BOW(TUNNEL) THRUSTER.pdf.xlsx</t>
  </si>
  <si>
    <t>F-28 ANCHOR.pdf</t>
  </si>
  <si>
    <t>ANCHOR&amp;MOORING WINDLASS</t>
  </si>
  <si>
    <t>ANCHOR</t>
  </si>
  <si>
    <t>3, 4, 5,</t>
  </si>
  <si>
    <t>JYOTSHNA_F-28 ANCHOR.pdf.xlsx</t>
  </si>
  <si>
    <t>F-29 ANCHOR CHAIN.pdf</t>
  </si>
  <si>
    <t>ANCHOR CHAIN</t>
  </si>
  <si>
    <t>JYOTSHNA_F-29 ANCHOR CHAIN.pdf.xlsx</t>
  </si>
  <si>
    <t>F-3_SHIP'S NAME &amp; REGISTER PORT NAME(INCL.MISCELLANEOUS SHIP'S MARK).pdf</t>
  </si>
  <si>
    <t>SHIP'S NAME &amp; REGISTER PORT NAME DOCUMENT</t>
  </si>
  <si>
    <t>F-30 DECK MACHINERY.pdf</t>
  </si>
  <si>
    <t>WINDLASS &amp; MOORING WINCH &amp; HYD SYSTEM</t>
  </si>
  <si>
    <t>33, 34, 38, 42, 43, 45-53, 55, 56, 65, 66, 67, 76, 79-102, 136, 176, 196, 197, 198, 202-205, 210, 222, 226, 228-230</t>
  </si>
  <si>
    <t>KIRTHIKA_F-30 DECK MACHINERY.pdf.xlsx</t>
  </si>
  <si>
    <t>F-31 F.O HOSE DAVIT.pdf</t>
  </si>
  <si>
    <t>DAVIT</t>
  </si>
  <si>
    <t>F.O HOSE DAVIT</t>
  </si>
  <si>
    <t xml:space="preserve">4-7, 9, 11, 13, </t>
  </si>
  <si>
    <t>Gunavathi</t>
  </si>
  <si>
    <t>GUNAVATHI_F-31 F.O HOSE DAVIT.pdf.xlsx</t>
  </si>
  <si>
    <t>Aarthy</t>
  </si>
  <si>
    <t>F-32 MONORAIL HOIST CRANE.pdf</t>
  </si>
  <si>
    <t>CRANES</t>
  </si>
  <si>
    <t>MONORAIL HOIST CRANE</t>
  </si>
  <si>
    <t>74, 75, 78-84, 87, 89, 91, 93, 94, 96, 98, 100, 101, 103, 104, 106, 107, 109, 111, 113-116, 118, 119, 126, 129, 134-136</t>
  </si>
  <si>
    <t>GUNAVATHI_F-32 MONORAIL HOIST CRANE.pdf.xlsx</t>
  </si>
  <si>
    <t>F-33 CARGO HATCH COVER</t>
  </si>
  <si>
    <t>F-34 ACCOMMODATION LADDER.pdf</t>
  </si>
  <si>
    <t>LIFTING APPLIANCES, DERRICKS, LADDERS</t>
  </si>
  <si>
    <t>ACCOMMODATION LADDER</t>
  </si>
  <si>
    <t>6, 7, 8, 9, 13, 14, 17, 18, 19, 21-43, 45, 47-52, 54</t>
  </si>
  <si>
    <t>Dhanush</t>
  </si>
  <si>
    <t>Sindhuja</t>
  </si>
  <si>
    <t>F-35 PILOT SLANT LADDER.pdf</t>
  </si>
  <si>
    <t>PILOT LADDER</t>
  </si>
  <si>
    <t>6, 7, 8, 10, 13-34, 39-42, 44</t>
  </si>
  <si>
    <t>F-36 LIFE BOAT.pdf</t>
  </si>
  <si>
    <t>LIFE BOAT</t>
  </si>
  <si>
    <t>7, 8, 10-17, 61, 71, 86, 87</t>
  </si>
  <si>
    <t>SATHYAVANI_F-36 LIFE BOAT.pdf.xlsx</t>
  </si>
  <si>
    <t>F-37 LIFE BOAT DAVIT.pdf</t>
  </si>
  <si>
    <t>LIFE BOAT DAVITS</t>
  </si>
  <si>
    <t>LIFE BOAT DAVIT</t>
  </si>
  <si>
    <t xml:space="preserve">7, 8, 10, 14, 16, 17, 19, 20, 24, 53, </t>
  </si>
  <si>
    <t>SATHYAVANI_F-39 RESCUE BOAT DAVIT.pdf.xlsx</t>
  </si>
  <si>
    <t>F-38 RESCUE BOAT.pdf</t>
  </si>
  <si>
    <t>RESCUE BOAT</t>
  </si>
  <si>
    <t>8, 34-37</t>
  </si>
  <si>
    <t>SATHYAVANI_F-38 RESCUE BOAT.pdf.xlsx</t>
  </si>
  <si>
    <t>F-39 RESCUE BOAT DAVIT.pdf</t>
  </si>
  <si>
    <t>RESCUE BOAT DAVIT</t>
  </si>
  <si>
    <t>14-18, 21-27, 35, 36, 39, 42</t>
  </si>
  <si>
    <t>SATHYAVANI_F-39 RESCUE BOAT DAVIT.pdf1.xlsx</t>
  </si>
  <si>
    <t>F-4_CONTAINER LOADING PLAN.pdf</t>
  </si>
  <si>
    <t>CONTAINER LOADING PLAN</t>
  </si>
  <si>
    <t>F-40 LIFE RAFT.pdf</t>
  </si>
  <si>
    <t>LIFE RAFT</t>
  </si>
  <si>
    <t>7, 8, 9, 13, 15</t>
  </si>
  <si>
    <t>SATHYAVANI_F-40 LIFE RAFT.pdf.xlsx</t>
  </si>
  <si>
    <t>F-41 LIFE SAVING APPLIANCE</t>
  </si>
  <si>
    <t>F-42 VENTILATION FAN</t>
  </si>
  <si>
    <t>F-5_MARKING FOR CONTAINER SYSTEM.pdf</t>
  </si>
  <si>
    <t>CONTAINER MARKING(STRUCTURAL ARRANGEMENT)</t>
  </si>
  <si>
    <t>F-6_ARRG'T &amp; DET. CONTAINER FIXED FITTINGS.pdf</t>
  </si>
  <si>
    <t>CONTAINER FITTINGS(STRUCTURAL ARRANGEMENT)</t>
  </si>
  <si>
    <t>F-7_CARGO SAFE ACCESS PLAN.pdf</t>
  </si>
  <si>
    <t>CARGO SAFE ACCESS PLAN</t>
  </si>
  <si>
    <t>F-8_ARRG'T OF STEERING GEAR ROOM.pdf</t>
  </si>
  <si>
    <t>STEERING GEAR ROOM(STRUCTURAL ARRANGEMENT)</t>
  </si>
  <si>
    <t>F-9_ARRG'T OF HULL-OUTFITTINGS FOR AFT. DECK.pdf</t>
  </si>
  <si>
    <t>AFT DECK HULL FITTINGS(STRUCTURAL ARRANGEMENT)</t>
  </si>
  <si>
    <t>SHINMYUNGTECH_4193_F.O.OSEHANDLINGDAVIT_FINAL_20220825.pdf</t>
  </si>
  <si>
    <t>sites/ANCHOOREDDATASOLUTIONS/Shared Documents/DATA ANCHOR/VESSELS/DANAOS - GREECE/TSAKOS SHIPPING (10-09-2026)/C.V. IRENES WISDOM_203_(10-09-2026)/MANUALS/2. IRENES WISDOM/4. IRENES WISDOM-RULE/3.Hull Outfitting/F-33 CARGO HATCH COVER</t>
  </si>
  <si>
    <t>HMD 4193_hatch cover_Final.pdf</t>
  </si>
  <si>
    <t>CARGO HATCH COVER</t>
  </si>
  <si>
    <t>12-15, 18-25, 94-121, 123, 124, 129 -132, 135, 144, 146</t>
  </si>
  <si>
    <t>HMD 4193_manual.pdf</t>
  </si>
  <si>
    <t>11, 12-23, 27-38</t>
  </si>
  <si>
    <t>sites/ANCHOOREDDATASOLUTIONS/Shared Documents/DATA ANCHOR/VESSELS/DANAOS - GREECE/TSAKOS SHIPPING (10-09-2026)/C.V. IRENES WISDOM_203_(10-09-2026)/MANUALS/2. IRENES WISDOM/4. IRENES WISDOM-RULE/3.Hull Outfitting/F-41 LIFE SAVING APPLIANCE</t>
  </si>
  <si>
    <t>H4193 EEBD FINAL_2022.11.09.pdf</t>
  </si>
  <si>
    <t>SAFETY EQUIPMENT</t>
  </si>
  <si>
    <t>EEBD</t>
  </si>
  <si>
    <t xml:space="preserve">3, 4, </t>
  </si>
  <si>
    <t>H4193 LSA FINAL_2022.11.09.pdf</t>
  </si>
  <si>
    <t>LIFE SAVING APPLIANCE</t>
  </si>
  <si>
    <t>3-6, 9, 12, 18, 20, 25, 29, 36, 40, 41, 53, 58</t>
  </si>
  <si>
    <t>SATHYAVANI_H4193 LSA FINAL_2022.11.09.pdf.xlsx</t>
  </si>
  <si>
    <t>H4193 PPE FINAL_2022.12.19.pdf</t>
  </si>
  <si>
    <t>3-12, 17</t>
  </si>
  <si>
    <t>SATHYAVANI_H4193 PPE FINAL_2022.12.19.pdf.xlsx</t>
  </si>
  <si>
    <t>sites/ANCHOOREDDATASOLUTIONS/Shared Documents/DATA ANCHOR/VESSELS/DANAOS - GREECE/TSAKOS SHIPPING (10-09-2026)/C.V. IRENES WISDOM_203_(10-09-2026)/MANUALS/2. IRENES WISDOM/4. IRENES WISDOM-RULE/3.Hull Outfitting/F-42 VENTILATION FAN</t>
  </si>
  <si>
    <t>220926_hmd04193fh_final dwg.pdf</t>
  </si>
  <si>
    <t>HEATING, VENTILATION &amp; AIR CONDITIONING</t>
  </si>
  <si>
    <t>VENTILATION FAN</t>
  </si>
  <si>
    <t>51, 52-121,</t>
  </si>
  <si>
    <t>IN PROCESS</t>
  </si>
  <si>
    <t>HI AIR Manual.pdf</t>
  </si>
  <si>
    <t>31, 35, 36, 47, 49, 51, 52</t>
  </si>
  <si>
    <t>sites/ANCHOOREDDATASOLUTIONS/Shared Documents/DATA ANCHOR/VESSELS/DANAOS - GREECE/TSAKOS SHIPPING (10-09-2026)/C.V. IRENES WISDOM_203_(10-09-2026)/MANUALS/2. IRENES WISDOM/4. IRENES WISDOM-RULE/4.Accommodation</t>
  </si>
  <si>
    <t>A-1_ACCOMMODATION PLAN</t>
  </si>
  <si>
    <t>A-10_PANAMA PILOT SHELTER ON DECK HOUSE.pdf</t>
  </si>
  <si>
    <t>PANAMA PILOT SHELTER</t>
  </si>
  <si>
    <t>A-11_FURNITURE.pdf</t>
  </si>
  <si>
    <t>ACCOMMODATION FURNITURE</t>
  </si>
  <si>
    <t xml:space="preserve">19-53, 55-59, 66-76,78-89, </t>
  </si>
  <si>
    <t>A-13_ARRG'T OF OX_AC ROOM.pdf</t>
  </si>
  <si>
    <t>GAS WELDING ROOM(STRUCTURAL ARRANGEMENT)</t>
  </si>
  <si>
    <t>A-14_ARRG'T OF SHIP'S OFFICE &amp; B.C.R.pdf</t>
  </si>
  <si>
    <t>SHIP OFFICE &amp; BCR(STRUCTURAL ARRANGEMENT)</t>
  </si>
  <si>
    <t>A-15_ARRG'T OF RADAR MAST.pdf</t>
  </si>
  <si>
    <t>RADAR MAST(STRUCTURAL ARRANGEMENT)</t>
  </si>
  <si>
    <t>A-16_ARRG'T OF EM'CY GENERATOR ROOM.pdf</t>
  </si>
  <si>
    <t>EMG GENERATOR ROOM(STRUCTURAL ARRANGEMENT)</t>
  </si>
  <si>
    <t>A-17_ARRG'T OF CO2 ROOM.pdf</t>
  </si>
  <si>
    <t>4193/4194/4234/4235</t>
  </si>
  <si>
    <t>9953391/9953561/9964156/9964168</t>
  </si>
  <si>
    <t>C2 ROOM(STRUCTURAL ARRANGEMENT)</t>
  </si>
  <si>
    <t>A-18_ARRG'T OF FIRE CONTROL STATION.pdf</t>
  </si>
  <si>
    <t>FIRE CONTROL STATION(STRUCTURAL ARRANGEMENT)</t>
  </si>
  <si>
    <t>A-19 DOOR.pdf</t>
  </si>
  <si>
    <t>DOOR</t>
  </si>
  <si>
    <t xml:space="preserve">17-39, 52, 54, 55, 62, 73-76, </t>
  </si>
  <si>
    <t>A-2_PIPING DIAGRAM IN ACCOMMODATION.pdf</t>
  </si>
  <si>
    <t>PIPING, VALVES, FILTERS, EJECTOR, FITTINGS</t>
  </si>
  <si>
    <t>ACCOMMODATION PIPING</t>
  </si>
  <si>
    <t>A-20 ELEVATOR.pdf</t>
  </si>
  <si>
    <t>ELEVATOR</t>
  </si>
  <si>
    <t xml:space="preserve">49, 85, 86, 96, 99, 101-106, 108-112, 114-116, 128-133, </t>
  </si>
  <si>
    <t>A-21 AIR CONDITIONING PLANT.pdf</t>
  </si>
  <si>
    <t>H4193/4194/4232/4233/4234/4235</t>
  </si>
  <si>
    <t>AIR CONDITIONING PLANT</t>
  </si>
  <si>
    <t>40-47, 79, 80, 82, 83, 85, 88, 103, 104, 105, 107-115, 119, 120, 122, 123, 125, 126, 127, 160, 164, 165, 176, 178, 180, 181, 230, 231, 280-300, 331, 388-392, 400, 403, 412, 415</t>
  </si>
  <si>
    <t>A-22 REFRIGERANT MANAGEMENT PLAN.pdf</t>
  </si>
  <si>
    <t>REFRIGERANT MANAGEMENT PLAN</t>
  </si>
  <si>
    <r>
      <rPr>
        <sz val="11"/>
        <color rgb="FF000000"/>
        <rFont val="Calibri"/>
      </rPr>
      <t xml:space="preserve">17, 18, 32, 36, 38, 51, 53, 58, 60-63, </t>
    </r>
    <r>
      <rPr>
        <sz val="11"/>
        <color rgb="FFFF0000"/>
        <rFont val="Calibri"/>
      </rPr>
      <t>78</t>
    </r>
  </si>
  <si>
    <t>A-12_ARRG'T OF AIR CONDITIONING ROOM.pdf</t>
  </si>
  <si>
    <t>A/C ROOM(STRUCTURAL ARRANGEMENT)</t>
  </si>
  <si>
    <t>A-23 WINDOW WIPER &amp; CLEAR VIEW SCREEN.pdf</t>
  </si>
  <si>
    <t>NAVIGATION EQUIPMENT</t>
  </si>
  <si>
    <t>WINDOW WIPER &amp; CLEAR VIEW SCREEN</t>
  </si>
  <si>
    <t xml:space="preserve">7, 8, 14, 17, 24, </t>
  </si>
  <si>
    <t>A-24 WINDOW.pdf</t>
  </si>
  <si>
    <t>WINDOW FOR BRIDGE</t>
  </si>
  <si>
    <t>WINDOWS</t>
  </si>
  <si>
    <t>27-33, 39-47</t>
  </si>
  <si>
    <t>A-25 GALLEY &amp; LAUNDRY EQUIPMENT.pdf</t>
  </si>
  <si>
    <t>H4193/4194</t>
  </si>
  <si>
    <t>GALLEY</t>
  </si>
  <si>
    <t>GALLEY &amp; LAUNDRY EQUIPMENT</t>
  </si>
  <si>
    <t>4, 6, 8-10, 17-21, 39, 46, 47, 50, 54, 56, 58, 59, 62, 75, 76, 77, 99, 100, 105, 106, 110, 113, 117, 128, 130, 131, 136, 138, 139, 145, 147, 148, 151-153, 159,  166, 171, 176, 234, 238, 248</t>
  </si>
  <si>
    <t>JYOTSHNA_A-25 GALLEY &amp; LAUNDRY EQUIPMENT.pdf.xlsx</t>
  </si>
  <si>
    <t>A-26 UNIT TOILET.PDF</t>
  </si>
  <si>
    <t>VACUUM TOILET SYSTEM &amp; SANITARY EQUIPMENT</t>
  </si>
  <si>
    <t>UNIT TOILET</t>
  </si>
  <si>
    <t xml:space="preserve">44, 49, 50, 52, 53, 54, </t>
  </si>
  <si>
    <t>A-27 VACUUM TOILET.pdf</t>
  </si>
  <si>
    <t>VACUUM TOILET</t>
  </si>
  <si>
    <t>5, 6, 7, 8, 10-18, 20-24, 26-31, 33-35</t>
  </si>
  <si>
    <t>A-28 PROVISION REFRIGERATING PLANT.pdf</t>
  </si>
  <si>
    <t>REFRIGERATION</t>
  </si>
  <si>
    <t>PROVISION REFRIGERATING PLANT</t>
  </si>
  <si>
    <t xml:space="preserve">16, 17, 19-22, 24, 25, 41, 44, 46, 61, 114-116, 155-178, </t>
  </si>
  <si>
    <t>A-29 COLD PROVISION CHAMBER.pdf</t>
  </si>
  <si>
    <t>COLD PROVISION CHAMBER</t>
  </si>
  <si>
    <t xml:space="preserve">9, 16, 19, </t>
  </si>
  <si>
    <t>A-3_VENTILATION DIAGRAM IN ACCOMMODATION.pdf</t>
  </si>
  <si>
    <t>ACCOMMODATION VENTILLATION</t>
  </si>
  <si>
    <t>A-30_MISCELLANEOUS EQUIPMENT IN ACCOM.pdf</t>
  </si>
  <si>
    <t>ACCOMMODATION MISCELLANEOUS EQUIPMENT</t>
  </si>
  <si>
    <t>5, 8, 13, 14</t>
  </si>
  <si>
    <t>A-31_ONBOARD TEST PROCEDURE FOR ACCOM.pdf</t>
  </si>
  <si>
    <t>ACCOMMODATION TEST PROCEDURE</t>
  </si>
  <si>
    <t>A-32_STANDARD PRACTICE(VENTILATION) IN ACCOM.pdf</t>
  </si>
  <si>
    <t>ACCOMMODATION VENTILLATION STANDARD PRACTISE</t>
  </si>
  <si>
    <t>A-33_STANDARD PRACTICE(PIPING) IN ACCOM.pdf</t>
  </si>
  <si>
    <t>ACCOMMODATION PIPING STANDARD PRACTISE</t>
  </si>
  <si>
    <t>A-34_STANDARD PRACTICE(WALL_CEILING_LINING) IN ACCOM.pdf</t>
  </si>
  <si>
    <t>ACCOMMODATION WALL &amp; CEILING STANDARD PRACTISE</t>
  </si>
  <si>
    <t>A-35_STANDARD PRACTICE(HULL STRUCTURE) IN ACCOM..pdf</t>
  </si>
  <si>
    <t>ACCOMMODATION &amp; HULL STRUCTURE STANDARD PRACTISE</t>
  </si>
  <si>
    <t>A-36_STANDARD PRACTICE(INSUL._DK COVER'G) IN ACCOM.pdf</t>
  </si>
  <si>
    <t>ACCOMMODATION &amp; DECK COVERING STANDARD PRACTISE</t>
  </si>
  <si>
    <t>A-37_STANDARD PRACTICE(OUTFITTING) IN ACCOM..pdf</t>
  </si>
  <si>
    <t>ACCOMMODATION FITTING STANDARD PRACTISE</t>
  </si>
  <si>
    <t>A-38_INVENTORY LIST(ACCOM. PART).pdf</t>
  </si>
  <si>
    <t>A-39_SPARE PART LIST(ACCOM. PART).pdf</t>
  </si>
  <si>
    <t>5-9, 11-13, 15, 17, 18, 20, 22-24, 26-31</t>
  </si>
  <si>
    <t>A-4_STRUCTURAL FIRE PROTECTION PLAN.pdf</t>
  </si>
  <si>
    <t>STRUCTURAL FIRE PROTECTION PLAN</t>
  </si>
  <si>
    <t>A-5_INTERIOR COLOR SCHEME.pdf</t>
  </si>
  <si>
    <t>ACCOMMODATION PAINTING</t>
  </si>
  <si>
    <t>A-6_DECK HOUSE CONSTRUCTION(INCL. FUNNEL &amp; CASING).pdf</t>
  </si>
  <si>
    <t>DECK HOUSE</t>
  </si>
  <si>
    <t>A-7_MISCELLANEOUS MARK AROUND D_HOUSE &amp; FUNNEL.pdf</t>
  </si>
  <si>
    <t>DECK HOUSE &amp; FUNNEL</t>
  </si>
  <si>
    <t>A-8_MAIN STAIRWAY IN ACCOM.pdf</t>
  </si>
  <si>
    <t>MAIN STAIRWAY</t>
  </si>
  <si>
    <t>A-9_LADDER AND RAIL IN ACCOMMODATION .pdf</t>
  </si>
  <si>
    <t>LADDER AND RAIL</t>
  </si>
  <si>
    <t>4-7, 10, 11, 13-21, 23, 29, 30</t>
  </si>
  <si>
    <t>sites/ANCHOOREDDATASOLUTIONS/Shared Documents/DATA ANCHOR/VESSELS/DANAOS - GREECE/TSAKOS SHIPPING (10-09-2026)/C.V. IRENES WISDOM_203_(10-09-2026)/MANUALS/2. IRENES WISDOM/4. IRENES WISDOM-RULE/4.Accommodation/A-1_ACCOMMODATION PLAN</t>
  </si>
  <si>
    <t>A-1-1_ACCOMMODATION PLAN ON UPP. DECK.pdf</t>
  </si>
  <si>
    <t>ACCOMMODATION PLAN</t>
  </si>
  <si>
    <t>A-1-2_ACCOMMODATION PLAN ON A DECK.pdf</t>
  </si>
  <si>
    <t>A-1-3_ACCOMMODATION PLAN ON B DECK.pdf</t>
  </si>
  <si>
    <t>A-1-4_ACCOMMODATION PLAN ON C DECK.pdf</t>
  </si>
  <si>
    <t>A-1-5_ACCOMMODATION PLAN ON D DECK.pdf</t>
  </si>
  <si>
    <t>A-1-6_ACCOMMODATION PLAN ON E DECK.pdf</t>
  </si>
  <si>
    <t>A-1-7_ACCOMMODATION PLAN ON F DECK.pdf</t>
  </si>
  <si>
    <t>A-1-8_ACCOMMODATION PLAN ON NAV. DECK.pdf</t>
  </si>
  <si>
    <t>sites/ANCHOOREDDATASOLUTIONS/Shared Documents/DATA ANCHOR/VESSELS/DANAOS - GREECE/TSAKOS SHIPPING (10-09-2026)/C.V. IRENES WISDOM_203_(10-09-2026)/MANUALS/2. IRENES WISDOM/4. IRENES WISDOM-RULE/5.Hull Piping</t>
  </si>
  <si>
    <t>P-1_HULL PIPING DIAGRAM(EXCEPT LIVING QUARTER).pdf</t>
  </si>
  <si>
    <t>HULL PIPING(PIPING ARRANGEEMNT)</t>
  </si>
  <si>
    <t>P-10_PIPING ARR'T OF FORE SHIP(INCL. BOW THRUSTER ROOM).pdf</t>
  </si>
  <si>
    <t xml:space="preserve">BOW THRUSTER ROOM &amp; FWD(PIPING ARRANGEEMNT) </t>
  </si>
  <si>
    <t>P-11_ONBOARD TEST PROCEDURE(PIPING PART).pdf</t>
  </si>
  <si>
    <t>STANDARD PRACTICE OF HULL PIPING</t>
  </si>
  <si>
    <t>P-12_HYD.OIL FLUSHING PROCEDURE(PIPING PART).pdf</t>
  </si>
  <si>
    <t>HYD OIL FLUSHING</t>
  </si>
  <si>
    <t>P-13_STANDARD PRACTICE OF HULL PIPING.pdf</t>
  </si>
  <si>
    <t>P-14_FIRE TRAINING AND OPERATION MANUAL.pdf</t>
  </si>
  <si>
    <t>FIRE FIGHTING</t>
  </si>
  <si>
    <t>FIRE TRAINING AND OPERATION MANUAL</t>
  </si>
  <si>
    <t xml:space="preserve">63, 66, 67, 76, 155, 156, 168-171, 238-243, 245-252, 255, </t>
  </si>
  <si>
    <t>P-15_INVENTORY LIST(PIPING PART).pdf</t>
  </si>
  <si>
    <t>P-16_SPARE PART LIST(PIPING PART).pdf</t>
  </si>
  <si>
    <t>5-8, 10, 13, 14, 16, 18, 19</t>
  </si>
  <si>
    <t>P-17 VALVE REMOTE CONTROL SYSTEM.pdf</t>
  </si>
  <si>
    <t>HYDRAULIC CONTROL UNIT</t>
  </si>
  <si>
    <t>VALVE REMOTE CONTROL SYSTEM</t>
  </si>
  <si>
    <t>6, 27, 44, 46, 110-113, 115</t>
  </si>
  <si>
    <t>P-18 EMERGENCY FIRE PUMP</t>
  </si>
  <si>
    <t>P-19 CO2 EXTINGUISHING SYSTEM.pdf</t>
  </si>
  <si>
    <t>CO2 EXTINGUISHING SYSTEM</t>
  </si>
  <si>
    <t>7-10, 44-50, 52-59, 63, 64, 65, 67-74, 77-88, 89, 91, 92, 99, 106-110, 113, 117-119, 121, 122, 128, 172, 174, 187-190, 191, Some pages might get compared to P-14_FIRE TRAINING AND OPERATION MANUAL.pdf</t>
  </si>
  <si>
    <t>P-2_DIAGRAM OF GAUGE &amp; CONTROL SYSTEM.pdf</t>
  </si>
  <si>
    <t>GAUGE &amp; CONTROL SYSTEM(PIPING ARRANGEEMNT)</t>
  </si>
  <si>
    <t>17, 18</t>
  </si>
  <si>
    <t>P-20 LOOSE FIRE FIGHTING APPLIANCE.pdf</t>
  </si>
  <si>
    <t>LOOSE FIRE FIGHTING APPLIANCE</t>
  </si>
  <si>
    <t>2, 3, 4, 6-11, 13-31</t>
  </si>
  <si>
    <t>P-21 ANTI-HEELING PUMP.pdf</t>
  </si>
  <si>
    <t>PUMP</t>
  </si>
  <si>
    <t>ANTI-HEELING PUMP</t>
  </si>
  <si>
    <t xml:space="preserve">6-9, 14, 21, 26, 29, 30-34, 63, 64, 66, 68, 119, 120, </t>
  </si>
  <si>
    <t>P-22 ELEC. PNEUMATIC TYPE TANK LEVEL GAUGE.pdf</t>
  </si>
  <si>
    <t>TANK LEVEL, GAUGING &amp; MONITORING SYSTEM</t>
  </si>
  <si>
    <t>ELEC. PNEUMATIC TYPE TANK LEVEL GAUGE</t>
  </si>
  <si>
    <t>5, 6, 7, 12, 13, 14, 18, 19, 24, 25, 34-38, 41</t>
  </si>
  <si>
    <t>P-23_VALVE LIST FOR HULL PIPING.pdf</t>
  </si>
  <si>
    <t>VALVES</t>
  </si>
  <si>
    <t>HULL VALVES</t>
  </si>
  <si>
    <t>P-3_SAFETY PLAN.pdf</t>
  </si>
  <si>
    <t>SAFETY PLAN</t>
  </si>
  <si>
    <t>P-4_PIPING ARR'T OF STERN &amp; STEERING GEAR ROOM.pdf</t>
  </si>
  <si>
    <t>STERN &amp; S/G ROOM(PIPING ARRANGEEMNT)</t>
  </si>
  <si>
    <t>P-5_PIPING ARR'T OF AFT DECK(INCL. D_HOUSE WALL).pdf</t>
  </si>
  <si>
    <t>AFT DECK &amp; DECK HOUSE(PIPING ARRANGEEMNT)</t>
  </si>
  <si>
    <t>P-6_SEA CHEST GRAT'G &amp; SHIP SIDE NOZZLE.pdf</t>
  </si>
  <si>
    <t>SEA CHEST GRAT'G &amp; SHIP SIDE NOZZLE</t>
  </si>
  <si>
    <t>4, 6, 7, 9-12</t>
  </si>
  <si>
    <t>P-7_PIPING ARR'T OF DOUBLE BOTTOM.pdf</t>
  </si>
  <si>
    <t>DOUBLE BOTTOM(PIPING ARRANGEEMNT)</t>
  </si>
  <si>
    <t>P-8_PIPING ARR'T OF CARGO HOLD (INCL. H_COIL FOR L.F.O. STOR. TK).pdf</t>
  </si>
  <si>
    <t>CARGO HOLD(PIPING ARRANGEEMNT)</t>
  </si>
  <si>
    <t>P-9_PIPING ARR'T OF SIDE VOID.pdf</t>
  </si>
  <si>
    <t>SIDE VOID(PIPING ARRANGEEMNT)</t>
  </si>
  <si>
    <t>sites/ANCHOOREDDATASOLUTIONS/Shared Documents/DATA ANCHOR/VESSELS/DANAOS - GREECE/TSAKOS SHIPPING (10-09-2026)/C.V. IRENES WISDOM_203_(10-09-2026)/MANUALS/2. IRENES WISDOM/4. IRENES WISDOM-RULE/5.Hull Piping/P-18 EMERGENCY FIRE PUMP</t>
  </si>
  <si>
    <t>H4193 FINISHED DWG(220914).pdf</t>
  </si>
  <si>
    <t>ALL PUMPS</t>
  </si>
  <si>
    <t>11-13, 15, 17, 18, 20, 21, 23, 26, 27, 29, 32, 33, 35, 36, 38, 41, 42, 44, 47, 48, 50, 52, 53, 55, 57, 59, 61, 64, 65, 69, 72, 73, 75, 76, 78, 80, 81, 83, 84, 86, 88, 89, 91, 93, 94, 95, 98, 99, 101, 104, 105, 106, 109, 110, 112, 113, 115, 117, 118, 120, 122, 123, 125, 127, 128, 130, 132, 134, 135, 137, 139, 141, 142, 144, 145</t>
  </si>
  <si>
    <t>H4193 FINISHED DWG_EMERGENCY FIRE PUMP(220914).pdf</t>
  </si>
  <si>
    <t>EMERGENCY FIRE PUMP</t>
  </si>
  <si>
    <t>11, 12, 14, 16</t>
  </si>
  <si>
    <t>H4193 INSPECTION REPORT.PDF</t>
  </si>
  <si>
    <t>H4193 INSPECTION REPORT_EMERGENCY FIRE PUMP.PDF</t>
  </si>
  <si>
    <t>INSTRUCTION MANUAL (air ejctor type vacuum unit _PSA-1200#2).pdf</t>
  </si>
  <si>
    <t>CENTRIFUGAL PUMP WITH AIR EJECTOR TYPE VACUUM UNIT</t>
  </si>
  <si>
    <t>INSTRUCTION MANUAL (centrifugal pumps) .pdf</t>
  </si>
  <si>
    <t>CENTRIFUGAL PUMP</t>
  </si>
  <si>
    <t xml:space="preserve">13, </t>
  </si>
  <si>
    <t>INSTRUCTION MANUAL (inside bearing gear pumps) .pdf</t>
  </si>
  <si>
    <t>GEAR PUMP</t>
  </si>
  <si>
    <t>18, 19, 20, 22, 24, 26, 27</t>
  </si>
  <si>
    <t>INSTRUCTION MANUAL (nash type vacuum pumps) .pdf</t>
  </si>
  <si>
    <t>VACUUM PUMP</t>
  </si>
  <si>
    <t>12, 13, 14</t>
  </si>
  <si>
    <t>INSTRUCTION MANUAL (one screw pumps) .pdf</t>
  </si>
  <si>
    <t>SINGLE SCREW  PUMP</t>
  </si>
  <si>
    <t>INSTRUCTION MANUAL (three rotor screw pumps _MSDK-M,HM) .pdf</t>
  </si>
  <si>
    <t>MULTI SCREW PUMP</t>
  </si>
  <si>
    <t>43, 44, 45, 46</t>
  </si>
  <si>
    <t>INSTRUCTION MANUAL (three rotor screw pumps _MST) .pdf</t>
  </si>
  <si>
    <t>6, 16, 17, 18, 19</t>
  </si>
  <si>
    <t>sites/ANCHOOREDDATASOLUTIONS/Shared Documents/DATA ANCHOR/VESSELS/DANAOS - GREECE/TSAKOS SHIPPING (10-09-2026)/C.V. IRENES WISDOM_203_(10-09-2026)/MANUALS/2. IRENES WISDOM/4. IRENES WISDOM-RULE/6.Machinery</t>
  </si>
  <si>
    <t>M-1_MACHINERY ARRG'T IN E_ROOM.pdf</t>
  </si>
  <si>
    <t>E/R PLAN</t>
  </si>
  <si>
    <t>M-10_ARRG'T &amp; DETAIL OF SHAFT WITHDRAWAL.pdf</t>
  </si>
  <si>
    <t>Arrangements</t>
  </si>
  <si>
    <t>SHAFTING ARRANGEMENT</t>
  </si>
  <si>
    <t>M-11_ARRG'T OF LIFTING BEAM IN E_ROOM.pdf</t>
  </si>
  <si>
    <t>E/R LIFITNG BEAM</t>
  </si>
  <si>
    <t>M-12_ARRG'T &amp; DET. OF WORK SHOP &amp; STORE IN E_ROOM.pdf</t>
  </si>
  <si>
    <t>E/R WORKSHOP &amp; STORE</t>
  </si>
  <si>
    <t>M-13_INDEPENDENT TANK IN E_ROOM.pdf</t>
  </si>
  <si>
    <t>TANKS IN E/R</t>
  </si>
  <si>
    <t>E/R INDEPENDENT TANK</t>
  </si>
  <si>
    <t>6-36, 38, 39</t>
  </si>
  <si>
    <t>M-14_ARRG'T OF DOOR &amp; INSULATION IN E_ROOM.pdf</t>
  </si>
  <si>
    <t>E/R DOORS &amp; INSULATION</t>
  </si>
  <si>
    <t>M-15_ARRG'T OF SHIP SIDE V_V &amp; DET. OF PIPE IN E_ROOM (INCL. SEA CHEST).pdf</t>
  </si>
  <si>
    <t>SHIP SIDE VALVES</t>
  </si>
  <si>
    <t>SEA CHEST &amp; SHIP SIDE VALVE</t>
  </si>
  <si>
    <t>M-16_ARRG'T OF M_E EXH. GAS PIPE.pdf</t>
  </si>
  <si>
    <t>MAIN ENGINE</t>
  </si>
  <si>
    <t>MAIN ENGINE EXHAUST PIPING</t>
  </si>
  <si>
    <t>M-17_ARRG'T OF HULL TANK IN E_ROOM.pdf</t>
  </si>
  <si>
    <t>E/R HULL TANK</t>
  </si>
  <si>
    <t>M-18_CAL.OF TORSIONAL VIBRATION FOR M_ENGINE.pdf</t>
  </si>
  <si>
    <t>M-19_CALCULATION OF SHAFT ALIGNMENT.pdf</t>
  </si>
  <si>
    <t>M-2_PIPING SYSTEM DIAGRAM IN E_ROOM.pdf</t>
  </si>
  <si>
    <t>E/R PIPING SYSTEM</t>
  </si>
  <si>
    <t>M-20_ONBOARD TEST PROCEDURE IN E_ROOM.pdf</t>
  </si>
  <si>
    <t>ONBOARD TEST PROCEDURE IN E/R</t>
  </si>
  <si>
    <t>M-21_FLUSHING PROCEDURE IN E_ROOM.pdf</t>
  </si>
  <si>
    <t>LO FLUSHING PROCEDURE</t>
  </si>
  <si>
    <t>M-22_OPERATION ON DISTILLATE FUEL(M.G.O).pdf</t>
  </si>
  <si>
    <t>MGO SUPPLY &amp; CIRCULATION SYSTEM</t>
  </si>
  <si>
    <t>M-23_STANDARD PRACTICE IN E_ROOM.pdf</t>
  </si>
  <si>
    <t>STANDARD PRACTICE IN E/ROOM</t>
  </si>
  <si>
    <t>43-52, 56-59, 61-65, 80, 83-86, 88-90, 100, 107, 108, 110, 111, 113, 116-119, 121, 123-141, 145, 146, 148-152, 164,165, 167, 169, 170, 173, 176-183, 186</t>
  </si>
  <si>
    <t>M-24_INVENTORY LIST IN E_ROOM.pdf</t>
  </si>
  <si>
    <t xml:space="preserve">3-18, </t>
  </si>
  <si>
    <t>M-25_SPARE PART LIST IN E_ROOM.pdf</t>
  </si>
  <si>
    <t>8-53, 59-154, 157-167, 170-176, 179-192, 195-206, 209, 210, 213, 216-220, 223, 224, 225, 228, 230, 231, 233-235, 237-240, 242, 244, 245, 247-251, 253-255, 257, 258, 261,261, 263-265, 267-290, 293-295, 297-299, 301, 302, 305, 307, 309, 311, 313, 315, 317, 319, 321, 323-326, 328-330, 332-335, 337-340, 342, 344, 345, 349, 351, 353, 355-357, 359, 361, 363, 365-368, 370, 372, 374, 376-378, 380-384, 386, 388, 390, 391, 393, 395, 397-399, 410, 403</t>
  </si>
  <si>
    <t>M-26_LUB. OIL CHART.pdf</t>
  </si>
  <si>
    <t>MACHINERIES LO CHART</t>
  </si>
  <si>
    <t>M-27 ER VENTILATION FAN</t>
  </si>
  <si>
    <t>M-28 PACKAGED AIR CON. FOR E.C.R.pdf</t>
  </si>
  <si>
    <t>AIR CONDITION</t>
  </si>
  <si>
    <t>ECR PACKAGED AC</t>
  </si>
  <si>
    <t xml:space="preserve">11, 14, 16, </t>
  </si>
  <si>
    <t>JYOTSHNA_M-28 PACKAGED AIR CON. FOR E.C.R.pdf.xlsx</t>
  </si>
  <si>
    <t>M-29,30 PRESSURE CONTROL VALVE</t>
  </si>
  <si>
    <t>M-3_KEY PLAN OF VENT DUCT,LADDER &amp; GRATING IN E_ROOM.pdf</t>
  </si>
  <si>
    <t>VENT DUCT,LADDER &amp; GRATING IN E/R</t>
  </si>
  <si>
    <t>M-31 EMERGENCY SHUT-OFF VALVE.pdf</t>
  </si>
  <si>
    <t>HMD4193</t>
  </si>
  <si>
    <t>EMERGENCY SHUT-OFF VALVE</t>
  </si>
  <si>
    <t>4-9, 16, 18</t>
  </si>
  <si>
    <t>M-32 BALLAST WATER TREATMENT PLANT</t>
  </si>
  <si>
    <t>M-33 LOCAL FIRE EXTINGUISHING SYSTEM.pdf</t>
  </si>
  <si>
    <t>LOCAL FIRE EXTINGUISHING SYSTEM</t>
  </si>
  <si>
    <t>27, 28, 72, 73, 75, 76, 78, 79, 81, 82, 101, 109</t>
  </si>
  <si>
    <t>M-34 MAIN ENGINE</t>
  </si>
  <si>
    <t>M-35 HYD. TOP BRACING.pdf</t>
  </si>
  <si>
    <t>MAIN ENGINE TOP BRACING</t>
  </si>
  <si>
    <t xml:space="preserve">22, 25, 26, 27, </t>
  </si>
  <si>
    <t>Shalini</t>
  </si>
  <si>
    <t>M-36 HYD. COUPLING BOLTNUT</t>
  </si>
  <si>
    <t>M-37 AUTO-BACK FLUSHINGFINE FILTER.pdf</t>
  </si>
  <si>
    <t>ME LO AUTO-BACK FLUSHINGFINE FILTER</t>
  </si>
  <si>
    <t>102-109, 111</t>
  </si>
  <si>
    <t>SATHYAVANI_M-37 AUTO-BACK FLUSHINGFINE FILTER.pdf.xlsx</t>
  </si>
  <si>
    <t>M-38 PROPELLER.pdf</t>
  </si>
  <si>
    <t>HMD4193-6/HMD4232-3/HMD4234-5</t>
  </si>
  <si>
    <t>PROPELLER</t>
  </si>
  <si>
    <t>12, 15, 18, 19, 20, 27, 29-32, 40, 42, 45</t>
  </si>
  <si>
    <t>GUNAVATHI_M-38 PROPELLER.pdf.xlsx</t>
  </si>
  <si>
    <t>M-39 STERN TUBE SEAL&amp;BEARINGS</t>
  </si>
  <si>
    <t>M-4_GENERAL ARRG'T OF SPARE PART &amp; TOOLS IN E_ROOM.pdf</t>
  </si>
  <si>
    <t>M-40 SHAFT EARTHING DEVICE</t>
  </si>
  <si>
    <t>M-41 DIESEL GENERATOR ENGINE</t>
  </si>
  <si>
    <t>M-42 F.O SUPPLY UNIT FOR ME &amp; GE</t>
  </si>
  <si>
    <t>M-43 ENERGY SAVING SYSTEM FOR MAIN C.S.W. PUMPS.pdf</t>
  </si>
  <si>
    <t>MEASUREMENT INSTRUMENTS</t>
  </si>
  <si>
    <t>MAIN CSW ENERGY EFFICIENCY SYSTEM</t>
  </si>
  <si>
    <t>9, 47-51, 96</t>
  </si>
  <si>
    <t>M-44,45 ER CENTRIFUGAL PUMP</t>
  </si>
  <si>
    <t>M-46 PURIFIER</t>
  </si>
  <si>
    <t>M-47 OILY BILGE SEPARATOR</t>
  </si>
  <si>
    <t>pg . 12-dbt</t>
  </si>
  <si>
    <t>M-48 AIR COMPRESSOR</t>
  </si>
  <si>
    <t>M-49 AIR RESERVOIR.pdf</t>
  </si>
  <si>
    <t>AIR RESERVOIR</t>
  </si>
  <si>
    <t>AIR RESEVOIR</t>
  </si>
  <si>
    <t>5-14, 19-28, 32-38</t>
  </si>
  <si>
    <t>M-5_ARRG'T &amp; DET. FOR VENT. DAMPER REMOTE CONT. SYS.pdf</t>
  </si>
  <si>
    <t>VENTILATION DAMPER REMOTE CONT. SYS</t>
  </si>
  <si>
    <t>M-50 AIR DRYER.pdf</t>
  </si>
  <si>
    <t>AIR DRYER</t>
  </si>
  <si>
    <t>CONTROL AIR DRYER</t>
  </si>
  <si>
    <t>4, 5, 7, 10, 11, 13</t>
  </si>
  <si>
    <t>M-51 F.W. GENERATOR.pdf</t>
  </si>
  <si>
    <t>HMD4193/4194</t>
  </si>
  <si>
    <t>F.W. GENERATOR, HEAT EXCHANGER</t>
  </si>
  <si>
    <t>F.W. GENERATOR</t>
  </si>
  <si>
    <t xml:space="preserve">5, 7, 8, 11, 16, 21, 30, 35, 36, 37, </t>
  </si>
  <si>
    <t>GUNAVATHI_M-51 F.W. GENERATOR.pdf.xlsx</t>
  </si>
  <si>
    <t>M-52 SEWAGE TREATMENT PLANT.pdf</t>
  </si>
  <si>
    <t>SEWAGE SYSTEM</t>
  </si>
  <si>
    <t>SEWAGE TREATMENT PLANT</t>
  </si>
  <si>
    <t>9, 11, 12, 14, 16, 17, 19, 20, 21, 23, 25, 29, 34, 67, 80, 105, 106, 107, 108</t>
  </si>
  <si>
    <t>M-53 M.G.P.S</t>
  </si>
  <si>
    <t>M-54 F.W. SUPPLY UNIT.pdf</t>
  </si>
  <si>
    <t>HYDROPHORE TANK</t>
  </si>
  <si>
    <t>FW HYDROPHORE SUPPLY UNIT</t>
  </si>
  <si>
    <t>12, 15, 16, 21, 35, 37, 54, 57, 62, 65, 85, 89, 90, 97</t>
  </si>
  <si>
    <t>M-55 S &amp; T TYPE HEAT EXCHANGER.pdf</t>
  </si>
  <si>
    <t>COOLERS</t>
  </si>
  <si>
    <t>COOLER</t>
  </si>
  <si>
    <t>4, 5, 10, 12, 14, 15, 16</t>
  </si>
  <si>
    <t>JYOTSHNA_M-55 S &amp; T TYPE HEAT EXCHANGER.pdf.xlsx</t>
  </si>
  <si>
    <t>M-56 S &amp;  T TYPE HEAT EXCHANGER.pdf</t>
  </si>
  <si>
    <t>HEATER</t>
  </si>
  <si>
    <t xml:space="preserve">3, 4, 5, 6, 7, 8, </t>
  </si>
  <si>
    <t>GUNAVATHI_M-56 S &amp;  T TYPE HEAT EXCHANGER.pdf.xlsx</t>
  </si>
  <si>
    <t>M-57 LATHE.pdf</t>
  </si>
  <si>
    <t>WORKSHOP MACHINERY, TOOLS, PORTABLE INSTRUMENTS</t>
  </si>
  <si>
    <t>LATHE MACHINE</t>
  </si>
  <si>
    <t xml:space="preserve">7, 10, 13, 15, 16-19, 78, 79, 81-83, 85, 86, 88, 89, 91, 93, 94, 95, </t>
  </si>
  <si>
    <t>M-58 DRILLING &amp; GRINDING MACHINE</t>
  </si>
  <si>
    <t>M-59 GAS WELDER.pdf</t>
  </si>
  <si>
    <t>OXYGEN ACETYLENE GAS WELDING</t>
  </si>
  <si>
    <t>5-28, 40-51</t>
  </si>
  <si>
    <t>M-6_ARRG'T &amp; DET. OF MAIN ENGINE TOP BRACING.pdf</t>
  </si>
  <si>
    <t>M-60 ER OVERHEAD CRANE.pdf</t>
  </si>
  <si>
    <t>E/R OVERHEAD CRANE</t>
  </si>
  <si>
    <t>48-64, 69, 70, 78-90</t>
  </si>
  <si>
    <t>GUNAVATHI_M-60 ER OVERHEAD CRANE.pdf.xlsx</t>
  </si>
  <si>
    <t>M-61 INCINERATOR.pdf</t>
  </si>
  <si>
    <t>INCINERATORS</t>
  </si>
  <si>
    <t>INCINERATOR</t>
  </si>
  <si>
    <t>10-14, 33, 34, 40, 42-55, 57, 58, 82, 91, 130-134, 136, 138</t>
  </si>
  <si>
    <t>M-62 COMPOSITE BOILER.pdf</t>
  </si>
  <si>
    <t>BOILER</t>
  </si>
  <si>
    <t>COMPOSITE BOILER</t>
  </si>
  <si>
    <r>
      <rPr>
        <sz val="11"/>
        <color rgb="FF000000"/>
        <rFont val="Calibri"/>
      </rPr>
      <t xml:space="preserve">35-38, 40, 41, 43-83, 88-95, 97, 137, 138-152, 192, 195-199, 394, 395, 397, 398, 399, 455, 467, 472, 482, </t>
    </r>
    <r>
      <rPr>
        <sz val="11"/>
        <color rgb="FFFF0000"/>
        <rFont val="Calibri"/>
      </rPr>
      <t>499</t>
    </r>
    <r>
      <rPr>
        <sz val="11"/>
        <color rgb="FF000000"/>
        <rFont val="Calibri"/>
      </rPr>
      <t xml:space="preserve">, 501, 502, 530, 533, 537, 543, 544, 545, 602-607, 663, 664, 665, 666, 669, </t>
    </r>
  </si>
  <si>
    <t>M-63_VALVE LIST IN E_R.pdf</t>
  </si>
  <si>
    <t>E/R VALVES</t>
  </si>
  <si>
    <t>M-64_DOCUMENTATION FOR ENVIRONMENTAL CLASS NOTATION</t>
  </si>
  <si>
    <t>M-7_DETAIL OF MAIN ENGINE SEATING.pdf</t>
  </si>
  <si>
    <t>MAIN ENGINE SEATING</t>
  </si>
  <si>
    <t>M-8_ARRG'T &amp; DET. OF CHOCK LINER FOR GENERATOR ENGINE.pdf</t>
  </si>
  <si>
    <t>DIESEL GENERATOR ENGINE CHOCK LINER</t>
  </si>
  <si>
    <t>M-9_SHAFTING PLAN.pdf</t>
  </si>
  <si>
    <t>3, 10, 15, 16, 17</t>
  </si>
  <si>
    <t>sites/ANCHOOREDDATASOLUTIONS/Shared Documents/DATA ANCHOR/VESSELS/DANAOS - GREECE/TSAKOS SHIPPING (10-09-2026)/C.V. IRENES WISDOM_203_(10-09-2026)/MANUALS/2. IRENES WISDOM/4. IRENES WISDOM-RULE/6.Machinery/M-27 ER VENTILATION FAN</t>
  </si>
  <si>
    <t>220926_hmd04193fm_final dwg.pdf</t>
  </si>
  <si>
    <t>16 - 35, 56, 81, 84, 85, 91</t>
  </si>
  <si>
    <t>Duplicate</t>
  </si>
  <si>
    <t>Duplicate with HI AIR Manual.pdf</t>
  </si>
  <si>
    <t>sites/ANCHOOREDDATASOLUTIONS/Shared Documents/DATA ANCHOR/VESSELS/DANAOS - GREECE/TSAKOS SHIPPING (10-09-2026)/C.V. IRENES WISDOM_203_(10-09-2026)/MANUALS/2. IRENES WISDOM/4. IRENES WISDOM-RULE/6.Machinery/M-29,30 PRESSURE CONTROL VALVE</t>
  </si>
  <si>
    <t>HMD 4193 CONTROL VALVE FINAL DWG.pdf</t>
  </si>
  <si>
    <t>4193/4194/W001-4</t>
  </si>
  <si>
    <t>PRESSURE CONTROL VALVE</t>
  </si>
  <si>
    <t>9-13, 5-21, 25-31</t>
  </si>
  <si>
    <t>MANUAL</t>
  </si>
  <si>
    <t>sites/ANCHOOREDDATASOLUTIONS/Shared Documents/DATA ANCHOR/VESSELS/DANAOS - GREECE/TSAKOS SHIPPING (10-09-2026)/C.V. IRENES WISDOM_203_(10-09-2026)/MANUALS/2. IRENES WISDOM/4. IRENES WISDOM-RULE/6.Machinery/M-29,30 PRESSURE CONTROL VALVE/MANUAL</t>
  </si>
  <si>
    <t>BPCON CONTROLLER MANUAL.pdf</t>
  </si>
  <si>
    <t>PNEUMATIC CONTROL VALVES</t>
  </si>
  <si>
    <t>Control Valve Manual.pdf</t>
  </si>
  <si>
    <t>CONTROL VALVES</t>
  </si>
  <si>
    <t>EPCON Manual.pdf</t>
  </si>
  <si>
    <t>ELECTRO PNEUMATIC VALVE</t>
  </si>
  <si>
    <t>SN01,02,03 Y Strainer Manual 2.pdf</t>
  </si>
  <si>
    <t>STRAINER</t>
  </si>
  <si>
    <t>TC01, TC02, TC03 Temp. Regulating Valve Manaul 2.pdf</t>
  </si>
  <si>
    <t>TEMP REGULATING VALVE</t>
  </si>
  <si>
    <t>8, 9, 10</t>
  </si>
  <si>
    <t>sites/ANCHOOREDDATASOLUTIONS/Shared Documents/DATA ANCHOR/VESSELS/DANAOS - GREECE/TSAKOS SHIPPING (10-09-2026)/C.V. IRENES WISDOM_203_(10-09-2026)/MANUALS/2. IRENES WISDOM/4. IRENES WISDOM-RULE/6.Machinery/M-32 BALLAST WATER TREATMENT PLANT</t>
  </si>
  <si>
    <t>(FINAL DWG)HMD_4193_94_ ECS-600Bx1_REV.0_220916.pdf</t>
  </si>
  <si>
    <t>BALLAST WATER TREATMENT PLANT</t>
  </si>
  <si>
    <t>26-28, 33, 35, 36, 37, 39, 40, 43, 44, 49, 50-60, 64, 66, 67, 71-73, 76, 77, 80, 83, 84, 86, 88-95, 97-100, , some spares can be compared with B-10_BALLAST WATER MANAGEMENT PLAN.pdf</t>
  </si>
  <si>
    <t>KIRTHIKA_(FINAL DWG)HMD_4193_94_ ECS-600Bx1_REV.0_220916.pdf.xlsx</t>
  </si>
  <si>
    <t>[ECS MANUAL_EN_Ver.C1.02] HMD 4193_94_4232_33_34_35 (2022.08.18).pdf</t>
  </si>
  <si>
    <t>64, 65, 66 spares might get compared with (FINAL DWG)HMD_4193_94_ ECS-600Bx1_REV.0_220916.pdf</t>
  </si>
  <si>
    <t>ECS MANUAL(APPENDIX Ⅱ_Ver.C) HMD 4193_94_4232_33_34_35 (2022.08.18).pdf</t>
  </si>
  <si>
    <t>67, 68, 69, 70, 115, 116, 424-426, 446</t>
  </si>
  <si>
    <t>KIRTHIKA_ECS MANUAL(APPENDIX Ⅱ_Ver.C) HMD 4193_94_4232_33_34_35 (2022.08.18).pdf.xlsx</t>
  </si>
  <si>
    <t>TC1710-001-USCG(MD)_Rev0.7_ECS OMSM.pdf</t>
  </si>
  <si>
    <t xml:space="preserve">120, 121, 134, 135, 136, </t>
  </si>
  <si>
    <t>KIRTHIKA_TC1710-001-USCG(MD)_Rev0.7_ECS OMSM.pdf.xlsx</t>
  </si>
  <si>
    <t>sites/ANCHOOREDDATASOLUTIONS/Shared Documents/DATA ANCHOR/VESSELS/DANAOS - GREECE/TSAKOS SHIPPING (10-09-2026)/C.V. IRENES WISDOM_203_(10-09-2026)/MANUALS/2. IRENES WISDOM/4. IRENES WISDOM-RULE/6.Machinery/M-34 MAIN ENGINE</t>
  </si>
  <si>
    <t>TASK : SPARE EXTRACTION</t>
  </si>
  <si>
    <t>MANUAL: 9. miscellaneous.pdf</t>
  </si>
  <si>
    <t>sites/ANCHOOREDDATASOLUTIONS/Shared Documents/DATA ANCHOR/VESSELS/DANAOS - GREECE/TSAKOS SHIPPING (10-09-2026)/C.V. IRENES WISDOM_203_(10-09-2026)/MANUALS/2. IRENES WISDOM/4. IRENES WISDOM-RULE/6.Machinery/M-34 MAIN ENGINE/1</t>
  </si>
  <si>
    <t>COUNT: 145 (DONE)</t>
  </si>
  <si>
    <t>Start.pdf</t>
  </si>
  <si>
    <t>MANUAL : B-10_BALLAST WATER MANAGEMENT PLAN.pdf</t>
  </si>
  <si>
    <t>sites/ANCHOOREDDATASOLUTIONS/Shared Documents/DATA ANCHOR/VESSELS/DANAOS - GREECE/TSAKOS SHIPPING (10-09-2026)/C.V. IRENES WISDOM_203_(10-09-2026)/MANUALS/2. IRENES WISDOM/4. IRENES WISDOM-RULE/6.Machinery/M-34 MAIN ENGINE/1/MANUAL</t>
  </si>
  <si>
    <t>B.M.S.pdf</t>
  </si>
  <si>
    <t>HMD4193/4194/4234/4235/HHI3376/77</t>
  </si>
  <si>
    <t>MAIN ENGINE REMOTE &amp; PROPULSION CONTROL SYSTEM(BRIDGE MANOEUVERING SYSTEM)</t>
  </si>
  <si>
    <r>
      <rPr>
        <sz val="11"/>
        <color rgb="FF000000"/>
        <rFont val="Calibri"/>
      </rPr>
      <t>12, 13, (</t>
    </r>
    <r>
      <rPr>
        <b/>
        <sz val="11"/>
        <color rgb="FF000000"/>
        <rFont val="Calibri"/>
      </rPr>
      <t>31-34, 36-49 41, 43-45, 47-63, 67, 71, 73 these pages compare with 12, 13 if not there then take it)</t>
    </r>
    <r>
      <rPr>
        <sz val="11"/>
        <color rgb="FF000000"/>
        <rFont val="Calibri"/>
      </rPr>
      <t>, 86-89</t>
    </r>
  </si>
  <si>
    <t>FINAL DRAWINGS.PDF</t>
  </si>
  <si>
    <t>Mostly Yard pages</t>
  </si>
  <si>
    <r>
      <rPr>
        <sz val="11"/>
        <color rgb="FF000000"/>
        <rFont val="Calibri"/>
      </rPr>
      <t>44, (</t>
    </r>
    <r>
      <rPr>
        <b/>
        <sz val="11"/>
        <color rgb="FF000000"/>
        <rFont val="Calibri"/>
      </rPr>
      <t>YARD-PAGE-TO BE EXTRACTEDT AT THE END IF REQUIRED 82-127, 133-227</t>
    </r>
    <r>
      <rPr>
        <sz val="11"/>
        <color rgb="FF000000"/>
        <rFont val="Calibri"/>
      </rPr>
      <t xml:space="preserve">), 299, 303-307, 314, 316, 318, 325, 339-360, 362-373, 379-386, 390, 391, 392, 563-565, 581-583,598, 599, 602, 603, 614-617, 633, 638-641, </t>
    </r>
    <r>
      <rPr>
        <b/>
        <sz val="11"/>
        <color rgb="FF000000"/>
        <rFont val="Calibri"/>
      </rPr>
      <t>(YARD-PAGE-TO BE EXTRACTEDT AT THE END IF REQUIRED-644-654, 655</t>
    </r>
    <r>
      <rPr>
        <sz val="11"/>
        <color rgb="FF000000"/>
        <rFont val="Calibri"/>
      </rPr>
      <t xml:space="preserve">) </t>
    </r>
    <r>
      <rPr>
        <b/>
        <sz val="11"/>
        <color rgb="FF000000"/>
        <rFont val="Calibri"/>
      </rPr>
      <t xml:space="preserve">(YARD-PAGE-TO BE EXTRACTEDT AT THE END IF REQUIRED 657-664), </t>
    </r>
    <r>
      <rPr>
        <sz val="11"/>
        <color rgb="FF000000"/>
        <rFont val="Calibri"/>
      </rPr>
      <t>667, 674, 676, 678, 679, 685, 687, 691, 701, 719-727, 760, 761, 766, 768-774, 776, 787, 788
IN THIS FILES PLEASE COMPARE AND TAKEN AS MANY SPARES MIGHT BE REPITATIVE.</t>
    </r>
  </si>
  <si>
    <t>FITTING &amp; ACC.pdf</t>
  </si>
  <si>
    <t>176, 177, 184, 185, 192, 193, 200, 201, 208, 209, 216, 217, 219, 220, 223, 224, 229, 230, 263, 276, 279, 280, 283, 284, 287, 290, 340, 341, 352, 353, 356, 364-366, 613-618, 735, 736, 737, 778, 929, 933-936, 939-941, 955-958, 960, 1018, 1022</t>
  </si>
  <si>
    <t>SCR Operation Manual.pdf</t>
  </si>
  <si>
    <t>HP SCR</t>
  </si>
  <si>
    <t>TOTAL COUNT:432 </t>
  </si>
  <si>
    <t>VOLUME I.pdf</t>
  </si>
  <si>
    <t>52, 134, 136, 138, 140, 142, 144, 146, 148, 150, 152, 154, 156, 158, 160, 162, 164, 166, 168, 170, 236, 238, 240, 242, 244, 246, 248, 250, 252, 254, 256, 258, 280, 282, 284, 286, 288, 290, 292, 294, 594, 596, 598, 600, 602, 604, 606, 608, 610, 612, 614, 616, 618, 620, 622, 624, 626, 628, 630, 632, 634, 636, 638, 640, 804, 806, 808, 810, 812, 814, 816, 818, 892, 894, 896, 898, 928, 930, 932, 934, 936, 938, 940, 1096, 1098, 1100, 1102, 1104, 1106, 1108, 1110, 1112, 1114, 1116, 1118</t>
  </si>
  <si>
    <t>VOLUME II.pdf</t>
  </si>
  <si>
    <t>148, 150, 152, 154, 156, 158, 160, 162, 164, 166, 168, 170, 172, 174, 176, 178, 180, 182, 184, 186, 226, 228, 230, 232, 234, 236, 238, 240, 242, 284, 286, 356, 358, 360, 362, 364, 366, 368, 370, 372, 374, 376, 378, 380, 382, 384, 386, 388, 390, 488, 490, 492, 840, 898, 900, 902, 952, 954, 956, 958, 960, 962, 964, 966, 968, 970, 972, 974, 976, 978, 980</t>
  </si>
  <si>
    <t>sites/ANCHOOREDDATASOLUTIONS/Shared Documents/DATA ANCHOR/VESSELS/DANAOS - GREECE/TSAKOS SHIPPING (10-09-2026)/C.V. IRENES WISDOM_203_(10-09-2026)/MANUALS/2. IRENES WISDOM/4. IRENES WISDOM-RULE/6.Machinery/M-34 MAIN ENGINE/2</t>
  </si>
  <si>
    <t>data</t>
  </si>
  <si>
    <t>sites/ANCHOOREDDATASOLUTIONS/Shared Documents/DATA ANCHOR/VESSELS/DANAOS - GREECE/TSAKOS SHIPPING (10-09-2026)/C.V. IRENES WISDOM_203_(10-09-2026)/MANUALS/2. IRENES WISDOM/4. IRENES WISDOM-RULE/6.Machinery/M-34 MAIN ENGINE/2/data</t>
  </si>
  <si>
    <t>Final Drawing for ME HP SCR.pdf</t>
  </si>
  <si>
    <t xml:space="preserve">21, 25, 26, 28, 29, 31, 38, 39, 175-dbt, 181, 182, 206, 207, 208, 218-222, 224, 225, 228, </t>
  </si>
  <si>
    <t>Manual for ME HP SCR.pdf</t>
  </si>
  <si>
    <t xml:space="preserve">41-48, 123, 180, 204, 205, </t>
  </si>
  <si>
    <t>sites/ANCHOOREDDATASOLUTIONS/Shared Documents/DATA ANCHOR/VESSELS/DANAOS - GREECE/TSAKOS SHIPPING (10-09-2026)/C.V. IRENES WISDOM_203_(10-09-2026)/MANUALS/2. IRENES WISDOM/4. IRENES WISDOM-RULE/6.Machinery/M-36 HYD. COUPLING BOLTNUT</t>
  </si>
  <si>
    <t>14714.pdf</t>
  </si>
  <si>
    <t>14715.pdf</t>
  </si>
  <si>
    <t>80342E.pdf</t>
  </si>
  <si>
    <t>sites/ANCHOOREDDATASOLUTIONS/Shared Documents/DATA ANCHOR/VESSELS/DANAOS - GREECE/TSAKOS SHIPPING (10-09-2026)/C.V. IRENES WISDOM_203_(10-09-2026)/MANUALS/2. IRENES WISDOM/4. IRENES WISDOM-RULE/6.Machinery/M-39 STERN TUBE SEAL&amp;BEARINGS</t>
  </si>
  <si>
    <t>4193s_FINISHED PLAN FOR BUSH_HMD.pdf</t>
  </si>
  <si>
    <t>STERN TUBE BEARINGS</t>
  </si>
  <si>
    <t>2, 3, 4, 5, 6</t>
  </si>
  <si>
    <t>SATHYAVANI_F-4193s_FINISHED PLAN FOR BUSH_HMD.pdf.xlsx</t>
  </si>
  <si>
    <t>4193s_FINISHED PLAN FOR ISB_HMD.pdf</t>
  </si>
  <si>
    <t>INTERMEDIATE SHAFT BEARING</t>
  </si>
  <si>
    <t>SATHYAVANI_4193s_FINISHED PLAN FOR ISB_HMD.pdf.xlsx</t>
  </si>
  <si>
    <t>4193s_FINISHED PLAN FOR SEAL_HMD.pdf</t>
  </si>
  <si>
    <t>STERN TUBE SEAL</t>
  </si>
  <si>
    <t>2, 3, 4, 5, 6, 7, 8, 9, 10, 11, 12</t>
  </si>
  <si>
    <t>SATHYAVANI_4193s_FINISHED PLAN FOR SEAL_HMD.pdf.xlsx</t>
  </si>
  <si>
    <t>INSTRUCTION MANUAL for INTERMEDIATE SHAFT BEARING_KMS(200221).pdf</t>
  </si>
  <si>
    <t>SATHYAVANI_INSTRUCTION MANUAL for INTERMEDIATE SHAFT BEARING_KMS(200221).pdf.xlsx</t>
  </si>
  <si>
    <t>INSTRUCTION MANUAL for STERN TUBE AIR SEAL(2020.0416).pdf</t>
  </si>
  <si>
    <t>STERN TUBE SHAFT AIR SEAL</t>
  </si>
  <si>
    <t>INSTRUCTION MANUAL for STERN TUBE SEAL(2022.04).pdf</t>
  </si>
  <si>
    <t>sites/ANCHOOREDDATASOLUTIONS/Shared Documents/DATA ANCHOR/VESSELS/DANAOS - GREECE/TSAKOS SHIPPING (10-09-2026)/C.V. IRENES WISDOM_203_(10-09-2026)/MANUALS/2. IRENES WISDOM/4. IRENES WISDOM-RULE/6.Machinery/M-40 SHAFT EARTHING DEVICE</t>
  </si>
  <si>
    <t>4193,94, 4232 ~ 235 SED F.pdf</t>
  </si>
  <si>
    <t>SHAFT GROUNDING DEVICE</t>
  </si>
  <si>
    <t>4, 7</t>
  </si>
  <si>
    <t>sed</t>
  </si>
  <si>
    <t>sites/ANCHOOREDDATASOLUTIONS/Shared Documents/DATA ANCHOR/VESSELS/DANAOS - GREECE/TSAKOS SHIPPING (10-09-2026)/C.V. IRENES WISDOM_203_(10-09-2026)/MANUALS/2. IRENES WISDOM/4. IRENES WISDOM-RULE/6.Machinery/M-40 SHAFT EARTHING DEVICE/sed</t>
  </si>
  <si>
    <t>AcroReader51_ENU.exe</t>
  </si>
  <si>
    <t>Exe</t>
  </si>
  <si>
    <t>SHAFT EARTHING DEVICE</t>
  </si>
  <si>
    <t>AcroReader51_KOR.exe</t>
  </si>
  <si>
    <t>SED MANUAL.pdf</t>
  </si>
  <si>
    <t>sites/ANCHOOREDDATASOLUTIONS/Shared Documents/DATA ANCHOR/VESSELS/DANAOS - GREECE/TSAKOS SHIPPING (10-09-2026)/C.V. IRENES WISDOM_203_(10-09-2026)/MANUALS/2. IRENES WISDOM/4. IRENES WISDOM-RULE/6.Machinery/M-41 DIESEL GENERATOR ENGINE</t>
  </si>
  <si>
    <t>sites/ANCHOOREDDATASOLUTIONS/Shared Documents/DATA ANCHOR/VESSELS/DANAOS - GREECE/TSAKOS SHIPPING (10-09-2026)/C.V. IRENES WISDOM_203_(10-09-2026)/MANUALS/2. IRENES WISDOM/4. IRENES WISDOM-RULE/6.Machinery/M-41 DIESEL GENERATOR ENGINE/1</t>
  </si>
  <si>
    <t>8000 hrs dg.txt</t>
  </si>
  <si>
    <t>Txt</t>
  </si>
  <si>
    <t>DIESEL GENERATOR ENGINE</t>
  </si>
  <si>
    <t>sites/ANCHOOREDDATASOLUTIONS/Shared Documents/DATA ANCHOR/VESSELS/DANAOS - GREECE/TSAKOS SHIPPING (10-09-2026)/C.V. IRENES WISDOM_203_(10-09-2026)/MANUALS/2. IRENES WISDOM/4. IRENES WISDOM-RULE/6.Machinery/M-41 DIESEL GENERATOR ENGINE/1/data</t>
  </si>
  <si>
    <t>VOL 1.pdf</t>
  </si>
  <si>
    <t xml:space="preserve">146-149, 163-165, 173-175, 193-196, 198, 199, 203, 204, 215, 216, 231-235, 238, 242, 253, 260, 267, 274, 275, 277-280, 301, 302, 304-309, 311, 313-316, 323, 326-337, 342, 345, 347, 348, 364, 366, 381, 385, 386, 390, 391, 393, 394, 401, 402, 406, 410, 411, 415, 416, 418, 419, 421-423, 429, 437, 438, 441, 442, 444, 445, 446, 448, 456, 460, 461, 462, 464, 466, 470, 472-476, </t>
  </si>
  <si>
    <t>AISWARIYA_VOL 1.pdf.xlsx</t>
  </si>
  <si>
    <t>VOL 2.pdf</t>
  </si>
  <si>
    <t>119-124, 127-131, 133, 135, 136, 138, 139, 141, 279, 330, 338, 375-379, 483, 555, 560, 583, 588, 612-614,  630, 631, 641, 646, 718, 743-746, 748, 750, 752, 753, 754, 756-759, 814, 828, 829, 838-851, 853-864</t>
  </si>
  <si>
    <t>AISWARIYA_VOL 2.pdf.xlsx</t>
  </si>
  <si>
    <t>sites/ANCHOOREDDATASOLUTIONS/Shared Documents/DATA ANCHOR/VESSELS/DANAOS - GREECE/TSAKOS SHIPPING (10-09-2026)/C.V. IRENES WISDOM_203_(10-09-2026)/MANUALS/2. IRENES WISDOM/4. IRENES WISDOM-RULE/6.Machinery/M-41 DIESEL GENERATOR ENGINE/2</t>
  </si>
  <si>
    <t>sites/ANCHOOREDDATASOLUTIONS/Shared Documents/DATA ANCHOR/VESSELS/DANAOS - GREECE/TSAKOS SHIPPING (10-09-2026)/C.V. IRENES WISDOM_203_(10-09-2026)/MANUALS/2. IRENES WISDOM/4. IRENES WISDOM-RULE/6.Machinery/M-41 DIESEL GENERATOR ENGINE/2/data</t>
  </si>
  <si>
    <t>Vol. 1.pdf</t>
  </si>
  <si>
    <t>LP SCR</t>
  </si>
  <si>
    <t>39-48, 123, 194, 218, 219, 250-252, 298-302</t>
  </si>
  <si>
    <t>AISWARIYA_Vol. 1.pdf.xlsx</t>
  </si>
  <si>
    <t>Vol. 2.pdf</t>
  </si>
  <si>
    <t xml:space="preserve">29, 30, 31, 34, 35, 36, 45, 46, 182-dbt, 188, 189, 202, 204-206, </t>
  </si>
  <si>
    <t>AISWARIYA_Vol. 2.pdf.xlsx</t>
  </si>
  <si>
    <t>sites/ANCHOOREDDATASOLUTIONS/Shared Documents/DATA ANCHOR/VESSELS/DANAOS - GREECE/TSAKOS SHIPPING (10-09-2026)/C.V. IRENES WISDOM_203_(10-09-2026)/MANUALS/2. IRENES WISDOM/4. IRENES WISDOM-RULE/6.Machinery/M-42 F.O SUPPLY UNIT FOR ME &amp; GE</t>
  </si>
  <si>
    <t>Final Drawing for 4193 F.O Supply Unit for ME &amp; GE_220926.pdf</t>
  </si>
  <si>
    <t>F.O SUPPLY UNIT FOR ME &amp; GE</t>
  </si>
  <si>
    <t xml:space="preserve">11-14, 16, 26, 54, 60, 63, 65, 67, 68, 70, 72, 74, 76, 78, 80, 82, 84, 86, 88, 89, 91, 93, 95, 109, 111, 113, 115-117, 119, 121, </t>
  </si>
  <si>
    <t>Instruction manual for 4193 ME &amp; GE F.O Supply unit_220926.pdf</t>
  </si>
  <si>
    <t>57, 82, 93, 200-204, 212, 213, 239, 240, 265, 266, 287, 375-379, 381</t>
  </si>
  <si>
    <t>sites/ANCHOOREDDATASOLUTIONS/Shared Documents/DATA ANCHOR/VESSELS/DANAOS - GREECE/TSAKOS SHIPPING (10-09-2026)/C.V. IRENES WISDOM_203_(10-09-2026)/MANUALS/2. IRENES WISDOM/4. IRENES WISDOM-RULE/6.Machinery/M-44,45 ER CENTRIFUGAL PUMP</t>
  </si>
  <si>
    <t>Duplicate with - H4193 FINISHED DWG(220914).pdf</t>
  </si>
  <si>
    <t>Duplicate with - H4193 FINISHED DWG_EMERGENCY FIRE PUMP(220914).pdf</t>
  </si>
  <si>
    <t>Duplicate with - H4193 INSPECTION REPORT.PDF</t>
  </si>
  <si>
    <t>Duplicate with - H4193 INSPECTION REPORT_EMERGENCY FIRE PUMP.PDF</t>
  </si>
  <si>
    <t>Duplicate with - INSTRUCTION MANUAL (air ejctor type vacuum unit _PSA-1200#2).pdf</t>
  </si>
  <si>
    <t>Duplicate with - INSTRUCTION MANUAL (centrifugal pumps) .pdf</t>
  </si>
  <si>
    <t>Duplicate with - INSTRUCTION MANUAL (inside bearing gear pumps) .pdf</t>
  </si>
  <si>
    <t>Duplicate with - INSTRUCTION MANUAL (nash type vacuum pumps) .pdf</t>
  </si>
  <si>
    <t>Duplicate with - INSTRUCTION MANUAL (one screw pumps) .pdf</t>
  </si>
  <si>
    <t>Duplicate with - INSTRUCTION MANUAL (three rotor screw pumps _MSDK-M,HM) .pdf</t>
  </si>
  <si>
    <r>
      <rPr>
        <b/>
        <u/>
        <sz val="11"/>
        <color rgb="FF467886"/>
        <rFont val="Calibri"/>
      </rPr>
      <t xml:space="preserve">Duplicate with - </t>
    </r>
    <r>
      <rPr>
        <u/>
        <sz val="11"/>
        <color rgb="FF467886"/>
        <rFont val="Calibri"/>
      </rPr>
      <t>INSTRUCTION MANUAL (three rotor screw pumps _MST) .pdf</t>
    </r>
  </si>
  <si>
    <t>sites/ANCHOOREDDATASOLUTIONS/Shared Documents/DATA ANCHOR/VESSELS/DANAOS - GREECE/TSAKOS SHIPPING (10-09-2026)/C.V. IRENES WISDOM_203_(10-09-2026)/MANUALS/2. IRENES WISDOM/4. IRENES WISDOM-RULE/6.Machinery/M-46 PURIFIER</t>
  </si>
  <si>
    <t>1. Final_Drawings.pdf</t>
  </si>
  <si>
    <t>PURIFIER</t>
  </si>
  <si>
    <t>132, 133, 136, 137, 196-199, 203, 205, 207, 213, 214, 216-218, 275-279, 284, 286, 288</t>
  </si>
  <si>
    <t>KIRTHIIKA_1. Final_Drawings.pdf.xlsx</t>
  </si>
  <si>
    <t>2. instruction manual for control unit.pdf</t>
  </si>
  <si>
    <t>3. Settings and malfunctions.pdf</t>
  </si>
  <si>
    <t>4. Table of lubricating oils.pdf</t>
  </si>
  <si>
    <t>5. Instruction manual for OSF25.pdf</t>
  </si>
  <si>
    <t>LFO PURIFIER</t>
  </si>
  <si>
    <t xml:space="preserve">147, 148, 153, 203, </t>
  </si>
  <si>
    <t>KIRTHIKA_5. Instruction manual for OSF25.pdf.xlsx</t>
  </si>
  <si>
    <t>6. Spare parts catalog for OSF25-0136.pdf</t>
  </si>
  <si>
    <t>4, 6, 7, 9-13, 15, 17, 19, 21, 22, 24, 26, 28, 30, 32, 33, 34, 36, 38, 40, 41, 43, 44</t>
  </si>
  <si>
    <t>KIRTHIKA_6. Spare parts catalog for OSF25-0136.pdf.xlsx</t>
  </si>
  <si>
    <t>7. Instruction manual for OSF12.pdf</t>
  </si>
  <si>
    <t>MAIN LO PURIFIER</t>
  </si>
  <si>
    <t>147, 148, 153, 194</t>
  </si>
  <si>
    <t>8. Spare parts catalog for OSF12-91.pdf</t>
  </si>
  <si>
    <t>4, 6, 7, 9-11, 13-15, 17, 19, 21, 23, 24, 26, 28, 30, 32, 33, 34, 36, 38, 40, 42, 43, 45, 46</t>
  </si>
  <si>
    <t>KIRTHIKA_8. Spare parts catalog for OSF12-91.pdf.xlsx</t>
  </si>
  <si>
    <t>9. miscellaneous.pdf</t>
  </si>
  <si>
    <t xml:space="preserve">9, 10, 19,34, 93, 94, 95, 98, 114, 117, 127, 138, 147, 151, 153, </t>
  </si>
  <si>
    <t>KIRTHIKA_9. miscellaneous.pdf.xlsx</t>
  </si>
  <si>
    <t>sites/ANCHOOREDDATASOLUTIONS/Shared Documents/DATA ANCHOR/VESSELS/DANAOS - GREECE/TSAKOS SHIPPING (10-09-2026)/C.V. IRENES WISDOM_203_(10-09-2026)/MANUALS/2. IRENES WISDOM/4. IRENES WISDOM-RULE/6.Machinery/M-47 OILY BILGE SEPARATOR</t>
  </si>
  <si>
    <t>1. HMD 4193 FINAL DWG (OBS).pdf</t>
  </si>
  <si>
    <t>OIL SPILL EQUIPMENT</t>
  </si>
  <si>
    <t>OILY BILGE SEPARATOR</t>
  </si>
  <si>
    <t>24, 26-37, 39, 40, 42, 46, 55-59</t>
  </si>
  <si>
    <t>2. HMD 4193 CERT (OBS).pdf</t>
  </si>
  <si>
    <t>3. OILY BILGE SEPARATOR INSTRUCTION MANUAL(10~100EB)_Rev.6.1 (ENG).pdf</t>
  </si>
  <si>
    <t>4. 15PPM BILGE ALARM INSTRUCTION MANUAL_Rev.7.3 (ENG).pdf</t>
  </si>
  <si>
    <t>sites/ANCHOOREDDATASOLUTIONS/Shared Documents/DATA ANCHOR/VESSELS/DANAOS - GREECE/TSAKOS SHIPPING (10-09-2026)/C.V. IRENES WISDOM_203_(10-09-2026)/MANUALS/2. IRENES WISDOM/4. IRENES WISDOM-RULE/6.Machinery/M-48 AIR COMPRESSOR</t>
  </si>
  <si>
    <t>sites/ANCHOOREDDATASOLUTIONS/Shared Documents/DATA ANCHOR/VESSELS/DANAOS - GREECE/TSAKOS SHIPPING (10-09-2026)/C.V. IRENES WISDOM_203_(10-09-2026)/MANUALS/2. IRENES WISDOM/4. IRENES WISDOM-RULE/6.Machinery/M-48 AIR COMPRESSOR/1</t>
  </si>
  <si>
    <t>H4193,94_EMERGENCY AIR COMPRESSOR_FIANL DRAWING.pdf</t>
  </si>
  <si>
    <t>AIR COMPRESSOR</t>
  </si>
  <si>
    <t>EMERGENCY AIR COMPRESSOR</t>
  </si>
  <si>
    <t>6, 7, 15, 35, 37, 65, 67, 69, 71, 73, 75, 77, 79, 81, 83, 85, 87, 89, 91</t>
  </si>
  <si>
    <t>H4193,94_MAIN AIR COMPRESSOR_FINAL DRAWING.pdf</t>
  </si>
  <si>
    <t>MAIN AIR COMPRESSOR</t>
  </si>
  <si>
    <t>6, 7, 8, 15, 41, 43, 65, 67, 69, 71, 73, 75, 77, 79, 81, 83, 85, 87, 89, 91</t>
  </si>
  <si>
    <t>sites/ANCHOOREDDATASOLUTIONS/Shared Documents/DATA ANCHOR/VESSELS/DANAOS - GREECE/TSAKOS SHIPPING (10-09-2026)/C.V. IRENES WISDOM_203_(10-09-2026)/MANUALS/2. IRENES WISDOM/4. IRENES WISDOM-RULE/6.Machinery/M-48 AIR COMPRESSOR/2</t>
  </si>
  <si>
    <t>H4193 FINAL.pdf</t>
  </si>
  <si>
    <t>WORKING AIR COMPRESSOR</t>
  </si>
  <si>
    <t>9, 11, 13</t>
  </si>
  <si>
    <t>MICOM.pdf</t>
  </si>
  <si>
    <t>NeX-A.pdf</t>
  </si>
  <si>
    <t>sites/ANCHOOREDDATASOLUTIONS/Shared Documents/DATA ANCHOR/VESSELS/DANAOS - GREECE/TSAKOS SHIPPING (10-09-2026)/C.V. IRENES WISDOM_203_(10-09-2026)/MANUALS/2. IRENES WISDOM/4. IRENES WISDOM-RULE/6.Machinery/M-53 M.G.P.S</t>
  </si>
  <si>
    <t>4193,194, 4232~235 MGPS F.pdf</t>
  </si>
  <si>
    <t>M.G.P.S, I.C.C.P., ANODES, ANTI-FOULING</t>
  </si>
  <si>
    <t>MGPS</t>
  </si>
  <si>
    <t>4, 8,</t>
  </si>
  <si>
    <t>sites/ANCHOOREDDATASOLUTIONS/Shared Documents/DATA ANCHOR/VESSELS/DANAOS - GREECE/TSAKOS SHIPPING (10-09-2026)/C.V. IRENES WISDOM_203_(10-09-2026)/MANUALS/2. IRENES WISDOM/4. IRENES WISDOM-RULE/6.Machinery/M-53 M.G.P.S/MGPS</t>
  </si>
  <si>
    <t>logsheet ICCP MGPS.xls</t>
  </si>
  <si>
    <t>MGPS Manual rev.17.pdf</t>
  </si>
  <si>
    <t>sites/ANCHOOREDDATASOLUTIONS/Shared Documents/DATA ANCHOR/VESSELS/DANAOS - GREECE/TSAKOS SHIPPING (10-09-2026)/C.V. IRENES WISDOM_203_(10-09-2026)/MANUALS/2. IRENES WISDOM/4. IRENES WISDOM-RULE/6.Machinery/M-58 DRILLING &amp; GRINDING MACHINE</t>
  </si>
  <si>
    <t>H4193 DRILLING MACHINE FINAL DRAWING &amp; INSTRUCTION MANUAL.pdf</t>
  </si>
  <si>
    <t>DRILLING &amp; GRINDING MACHINE</t>
  </si>
  <si>
    <t xml:space="preserve">3, 4, 5, 7, 11, 12, 53-55, </t>
  </si>
  <si>
    <t>SATHYAVANI_H4193 DRILLING MACHINE FINAL DRAWING &amp; INSTRUCTION MANUAL.pdf.xlsx</t>
  </si>
  <si>
    <t>H4193 GRINDING MACHINE FINAL  DRAWING &amp; INSTRUCTION MANUAL.pdf</t>
  </si>
  <si>
    <t>4, 5, 7-9, 16-18</t>
  </si>
  <si>
    <t>SATHYAVANI_H4193 GRINDING MACHINE FINAL  DRAWING &amp; INSTRUCTION MANUAL.pdf.xlsx</t>
  </si>
  <si>
    <t>sites/ANCHOOREDDATASOLUTIONS/Shared Documents/DATA ANCHOR/VESSELS/DANAOS - GREECE/TSAKOS SHIPPING (10-09-2026)/C.V. IRENES WISDOM_203_(10-09-2026)/MANUALS/2. IRENES WISDOM/4. IRENES WISDOM-RULE/6.Machinery/M-64_DOCUMENTATION FOR ENVIRONMENTAL CLASS NOTATION</t>
  </si>
  <si>
    <t>4193_9A000M110_CLEAN NOTATION_R1(ABS)_135907660_135920376.pdf</t>
  </si>
  <si>
    <t>ENVIRONMENTAL CLASS NOTATION(CERTIFICATE)</t>
  </si>
  <si>
    <t>Letter (T2346545)_135925657.pdf</t>
  </si>
  <si>
    <t>sites/ANCHOOREDDATASOLUTIONS/Shared Documents/DATA ANCHOR/VESSELS/DANAOS - GREECE/TSAKOS SHIPPING (10-09-2026)/C.V. IRENES WISDOM_203_(10-09-2026)/MANUALS/2. IRENES WISDOM/4. IRENES WISDOM-RULE/7.Electric</t>
  </si>
  <si>
    <t>E-1_WIRING DIAGRAM OF POWER SYS.pdf</t>
  </si>
  <si>
    <t>ELECTRICAL SYSTEM</t>
  </si>
  <si>
    <t>FEEDER PANEL (ELECTRICAL)</t>
  </si>
  <si>
    <t>E-10_CONNECTION DIAGRAM OF FIRE DETECTION SYSTEM.pdf</t>
  </si>
  <si>
    <t>FIRE DETECTION SYSTEM</t>
  </si>
  <si>
    <t>E-11_WIRING DIAGRAM OF LIGHTING SYS. IN E_ROOM.pdf</t>
  </si>
  <si>
    <t>LIGHTING SYSTEM</t>
  </si>
  <si>
    <t>E-12_ARRG'T OF NAVIGATION LIGHTS.pdf</t>
  </si>
  <si>
    <t>NAVIGATION LIGHTS(ELECTRICAL ARRANGEMENTS)</t>
  </si>
  <si>
    <t>E-13_ARRG'T OF ECHO SOUNDER &amp; SPEED LOG.pdf</t>
  </si>
  <si>
    <t>ECHO SOUNDER &amp; SPEED LOG(ELECTRICAL ARRANGEMENTS)</t>
  </si>
  <si>
    <t>E-14_LIST &amp; ARRG'T OF ELEC. EQUIP. IN DANGEROUS AREA.pdf</t>
  </si>
  <si>
    <t>ELEC. EQUIP. IN DANGEROUS AREA(ELECTRICAL ARRANGEMENTS)</t>
  </si>
  <si>
    <t>E-15_G_A OF ELEC. EQUIP. IN S_GEAR ROOM &amp; E_ROOM.pdf</t>
  </si>
  <si>
    <t>S/G &amp; E/R ROOM ELECTRICAL EQUIPMENTS(ELECTRICAL ARRANGEMENTS)</t>
  </si>
  <si>
    <t>E-16_ARRG'T OF ENGINE CONTROL ROOM.pdf</t>
  </si>
  <si>
    <t>ECR ELEC. EQUIP(ELECTRICAL ARRANGEMENTS)</t>
  </si>
  <si>
    <t>E-17_G_A OF ELEC. EQUIP. IN CARGO HOLD.pdf</t>
  </si>
  <si>
    <t>CARGO HOLD ELEC. EQUIP(ELECTRICAL ARRANGEMENTS)</t>
  </si>
  <si>
    <t>E-18_G_A OF ELEC. EQUIP. ON DECK.pdf</t>
  </si>
  <si>
    <t>DECK ELEC. EQUIP(ELECTRICAL ARRANGEMENTS)</t>
  </si>
  <si>
    <t>E-19_G_A OF ELEC. EQUIP. IN ACCOMMODATION.pdf</t>
  </si>
  <si>
    <t>ACCOMMODATION ELEC. EQUIP(ELECTRICAL ARRANGEMENTS)</t>
  </si>
  <si>
    <t>E-2_WIRING DIAGRAM OF LIGHTING SYS. EXCEPT E_ROOM.pdf</t>
  </si>
  <si>
    <t>WIRING DIAGRAM OF LIGHTING SYS.(ELECTRICAL)</t>
  </si>
  <si>
    <t>E-20_ARRG'T OF ANTENNA EXTENSION.pdf</t>
  </si>
  <si>
    <t>COMMUNICATIONS</t>
  </si>
  <si>
    <t>ANTENNA EXTENSION(ELECTRICAL ARRANGEMENTS)</t>
  </si>
  <si>
    <t>E-21_ARRG'T OF WHEEL HOUSE &amp; CHART SPACE.pdf</t>
  </si>
  <si>
    <t>WHEEL HOUSE &amp; CHART SPACE(ELECTRICAL ARRANGEMENTS)</t>
  </si>
  <si>
    <t>E-22_ARRG'T OF BATTERY ROOM.pdf</t>
  </si>
  <si>
    <t>BATTERY ROOM(ELECTRICAL ARRANGEMENTS)</t>
  </si>
  <si>
    <t>E-23_ELECTRIC LOAD ANALYSIS.pdf</t>
  </si>
  <si>
    <t>ELECTRIC LOAD ANALYSIS(ELECTRICAL)</t>
  </si>
  <si>
    <t>E-24 SHORT CIRCUIT CURRENT CALCULATION                           .pdf</t>
  </si>
  <si>
    <t>SHORT-CIRCUIT CURRENT  CALCULATION(ELECTRICAL)</t>
  </si>
  <si>
    <t>E-25_ONBOARD TEST PROCEDURE FOR ELECTRIC EQUIPMENT.pdf</t>
  </si>
  <si>
    <t>ELECTRIC EQUIPMENT ONBOARD TEST(ELECTRICAL)</t>
  </si>
  <si>
    <t>E-26_ONBOARD TEST PROCEDURE FOR MACH. CONTROL IN E_ROOM.pdf</t>
  </si>
  <si>
    <t>MACH. CONTROL IN E/ROOM ONBOARD TEST(ELECTRICAL)</t>
  </si>
  <si>
    <t>E-27_INSTALLATION STANDARD OF E_EQUIP. &amp; CABLE WAY.pdf</t>
  </si>
  <si>
    <t>ELEC. EQUIP. &amp; CABLE WAY(ELECTRICAL)</t>
  </si>
  <si>
    <t>E-28_SPARE PART(ELEC. PART).pdf</t>
  </si>
  <si>
    <t>6-11, 14-28, 31-35, 36-88</t>
  </si>
  <si>
    <t>E-29 STARTER FOR BOW THRUSTER.PDF</t>
  </si>
  <si>
    <t>BOW THRUSTER STARTER</t>
  </si>
  <si>
    <t>16, 17, 38, 39, 40</t>
  </si>
  <si>
    <t>E-3_CONNECTION DIAGRAM OF POWER SYS.pdf</t>
  </si>
  <si>
    <t>CONNECTION DIAGRAM OF POWER SYSTEM(ELECTRICAL)</t>
  </si>
  <si>
    <t>E-30 ELECTRIC MOTOR(FOR BOW THRUSTER).pdf</t>
  </si>
  <si>
    <t>HMD/H4193-94</t>
  </si>
  <si>
    <t>BOW THRUSTER MOTOR</t>
  </si>
  <si>
    <t xml:space="preserve">3, 5, 8, 64, 66, 69, 70-73, </t>
  </si>
  <si>
    <t>E-31 MAGNETIC COMPASS</t>
  </si>
  <si>
    <t>E-32 AUTO PILOT &amp; GYRO COMPASS</t>
  </si>
  <si>
    <t>E-33,34,35,36,39,40,44,45,62,63 JRC</t>
  </si>
  <si>
    <t>E-37 ANEMOMETER &amp; ANEMOSCOPE.PDF</t>
  </si>
  <si>
    <t>HMD4193/4194/4232/4233/4234/4235</t>
  </si>
  <si>
    <t>ANEMOMETER &amp; ANEMOSCOPE</t>
  </si>
  <si>
    <t>4-8, 14</t>
  </si>
  <si>
    <t>KIRTHIKA_E-37 ANEMOMETER &amp; ANEMOSCOPE.PDF.xlsx</t>
  </si>
  <si>
    <t>E-38 WHISTLE.pdf</t>
  </si>
  <si>
    <t>WHISTLES</t>
  </si>
  <si>
    <t>WHISTLE</t>
  </si>
  <si>
    <t xml:space="preserve">3, 4, 8, 9, 27, </t>
  </si>
  <si>
    <t>KIRTHIKAE_38 WHISTLE.pdf.xlsx</t>
  </si>
  <si>
    <t>E-4_INSTRUMENT &amp; ALARM POINT LIST.pdf</t>
  </si>
  <si>
    <t>INSTRUMENT &amp; ALARM POINT LIST FOR MACHINARIES</t>
  </si>
  <si>
    <t>E-41 RUDDER ANGLE INDICATOR.pdf</t>
  </si>
  <si>
    <t>RUDDER ANGLE INDICATOR</t>
  </si>
  <si>
    <t>4-14, 17</t>
  </si>
  <si>
    <t>KIRTHIKA_E-41 RUDDER ANGLE INDICATOR.pdf.xlsx</t>
  </si>
  <si>
    <t>E-42 ME HORSE POWER METER.pdf</t>
  </si>
  <si>
    <t>ME HORSE POWER METER</t>
  </si>
  <si>
    <t>KIRTHIKA_E-42 ME HORSE POWER METER.pdf.xlsx</t>
  </si>
  <si>
    <t>E-43 INTEGRATED SMART SHIP SOLUTION(HYUNDAL ISS)</t>
  </si>
  <si>
    <t>E-46 WHEEL HOUSE GAUGE BOARD.pdf</t>
  </si>
  <si>
    <t>H4193/4194/4232/4233</t>
  </si>
  <si>
    <t>WHEEL HOUSE GAUGE BOARD</t>
  </si>
  <si>
    <t>E-47 MISCELLANEOUS ALARM SYS.pdf</t>
  </si>
  <si>
    <t>HOSPITAL &amp; REF CHAMBER ALARM</t>
  </si>
  <si>
    <t>E-48,49,57,64 INTERCOMMUNICATION SYS.pdf</t>
  </si>
  <si>
    <t>COMMUNICATION SYSTEM</t>
  </si>
  <si>
    <t xml:space="preserve">3, 52, 59, 66-69, 71, 87, 89, 132-139, 142, 144, 153-156, 158, 160, 179, 181, 307, 312, 318, 330, </t>
  </si>
  <si>
    <t>E-5_WIRING DIAGRAM FOR COMMUNI. &amp; NAV. EQUIP.pdf</t>
  </si>
  <si>
    <t>WIRING DIAGRAM FOR COMMUNI. &amp; NAV. EQUIP.(ELECTRICAL)</t>
  </si>
  <si>
    <t>E-50 LIGHT SIGNAL COLUMN.pdf</t>
  </si>
  <si>
    <t>LIGHT SIGNAL COLUMN</t>
  </si>
  <si>
    <t>10, 11, 12, 14, 20, 29,</t>
  </si>
  <si>
    <t>E-51 FIRE ALARM &amp; DETECTION SYSTEM                               .pdf</t>
  </si>
  <si>
    <t>FIRE ALARM &amp; DETECTION SYSTEM</t>
  </si>
  <si>
    <t xml:space="preserve">6, 7, 8, 24, 28, 31, 37, 42, 44, 48, 49, 52, 56, 60, 64, 72, 73, </t>
  </si>
  <si>
    <t>E-52 ENGINE CONTROL CONSOLE</t>
  </si>
  <si>
    <t>E-53,58 ER ALARM &amp; MONITORING SYS</t>
  </si>
  <si>
    <t>E-54 BRIDGE CONTROL CONSOLE</t>
  </si>
  <si>
    <t>E-55 BRIDGE WATCH ALARM SYSTEM.pdf</t>
  </si>
  <si>
    <t>BRIDGE WATCH ALARM SYSTEM</t>
  </si>
  <si>
    <t xml:space="preserve">17-24, </t>
  </si>
  <si>
    <t>E-56 BRIDGE WING CONTROL CONSOLE.pdf</t>
  </si>
  <si>
    <t>E/R CONSOLE</t>
  </si>
  <si>
    <t>BRIDGE WING CONTROL CONSOLE</t>
  </si>
  <si>
    <t>E-59 INSTRUMENTS</t>
  </si>
  <si>
    <t>E-6_CONNECTION DIAGRAM FOR COMMUNI. &amp; NAV. EQUIP.pdf</t>
  </si>
  <si>
    <t>CONNECTION DIAGRAM FOR COMMUNI. &amp; NAV. EQUIP.(ELECTRICAL)</t>
  </si>
  <si>
    <t>E-60 C.C.T.V.PDF</t>
  </si>
  <si>
    <t>CCTV</t>
  </si>
  <si>
    <t xml:space="preserve">2, 3, 11-31, </t>
  </si>
  <si>
    <t>E-61 LIGHTING FIXTURE.pdf</t>
  </si>
  <si>
    <t>LIGHTING FIXTURE</t>
  </si>
  <si>
    <t>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83, 84, 86-89</t>
  </si>
  <si>
    <t>E-65 MAIN SWITCH BOARD.pdf</t>
  </si>
  <si>
    <t>SWITCHBOARDS</t>
  </si>
  <si>
    <t>MAIN SWITCH BOARD</t>
  </si>
  <si>
    <t xml:space="preserve">50-54, 60-62, 64-66, 69, 72, 93, 94, 107, 108, 120, 121, 133, 134, 144, 145, 178, 182, 187, 188, 192, 193, </t>
  </si>
  <si>
    <t>E-66 EM'CY SWITCH BOARD.PDF</t>
  </si>
  <si>
    <t>EM'CY SWITCH BOARD</t>
  </si>
  <si>
    <t xml:space="preserve">30-33, 44-47, 56, 57, 72, 78, 82, 83, 88, 89, </t>
  </si>
  <si>
    <t>E-67 DISTRIBUTION BOARD.pdf</t>
  </si>
  <si>
    <t>DISTRIBUTION BOARD</t>
  </si>
  <si>
    <t>E-68 BATTERY CHARGER AND DIST. BOARD.PDF</t>
  </si>
  <si>
    <t>BATTERY CHARGER &amp; DIST. BOARD</t>
  </si>
  <si>
    <t>8, 12, 25</t>
  </si>
  <si>
    <t>E-69 GROUP STARTER &amp; 220V FEEDER PANEL.pdf</t>
  </si>
  <si>
    <t>GROUP STARTER &amp; FEEDER PANEL</t>
  </si>
  <si>
    <t>30-41, 50-53, 38-72</t>
  </si>
  <si>
    <t>E-7_WIRING DIAGRAM AND ARRG'T OF FIRE &amp; GENERAL ALARM.pdf</t>
  </si>
  <si>
    <t>WIRING DIAGRAM AND ARRG'T OF FIRE &amp; GENERAL ALARM(ELECTRICAL)</t>
  </si>
  <si>
    <t>E-70 LGSP &amp; INDIVIDUAL STARTER.pdf</t>
  </si>
  <si>
    <t>LOCAL &amp; INDIVIDUAL STARTER PANEL</t>
  </si>
  <si>
    <t xml:space="preserve">38-72, 170, 171, </t>
  </si>
  <si>
    <t>E-71 EM'CY STOP SWITCH BOX.pdf</t>
  </si>
  <si>
    <t>EMERGENCY STOP SWITCH BOX(ELECTRICAL)</t>
  </si>
  <si>
    <t>9, 10, 11, 12,</t>
  </si>
  <si>
    <t>E-72 TEST PANEL.pdf</t>
  </si>
  <si>
    <t>TEST PANEL(ELECTRIAL)</t>
  </si>
  <si>
    <t>8, 12</t>
  </si>
  <si>
    <t>E-73 WH GROUP CONTROL PANEL.pdf</t>
  </si>
  <si>
    <t>GROUP CONTROL PANEL</t>
  </si>
  <si>
    <t>E-74 ELECTRIC WELDER.pdf</t>
  </si>
  <si>
    <t>ELECTRIC WELDING MACHINE</t>
  </si>
  <si>
    <t>5, 11, 12, 18</t>
  </si>
  <si>
    <t>E-75 ELEC. EQUIP. FOR REEFER MONITORING SYSTEM</t>
  </si>
  <si>
    <t>E-76 RECEPTACLE FOR REEFER CONTAINER.pdf</t>
  </si>
  <si>
    <t>REEFER CONTAINER RECEPTACLE</t>
  </si>
  <si>
    <t>15, 16, 17, 18, 19</t>
  </si>
  <si>
    <t>JYOTSHNA_E-76 RECEPTACLE FOR REEFER CONTAINER.pdf.xlsx</t>
  </si>
  <si>
    <t>E-77 DIESEL GENERATOR</t>
  </si>
  <si>
    <t>E-78 EM'CY DIESEL GENERATOR SET</t>
  </si>
  <si>
    <t>E-79 POWER &amp; LIGHTING TRANSFORMER</t>
  </si>
  <si>
    <t>E-8_WIRING DIAGRAM FOR CONTROL &amp; INSTRUMENT.pdf</t>
  </si>
  <si>
    <t>WIRING DIAGRAM FOR CONTROL &amp; INSTRUMENT(ELECTRICAL)</t>
  </si>
  <si>
    <t>E-80_SCHEDULE OF BATTERY.pdf</t>
  </si>
  <si>
    <t>BATTERIES</t>
  </si>
  <si>
    <t>E-81 INSTRUCTIOIN MANUAL FOR MAIN &amp; EM'CY SWITCHBOARD &amp; STARTER</t>
  </si>
  <si>
    <t>E-9_CONNECTION DIAGRAM FOR CONTROL &amp; INSTRUMENT.pdf</t>
  </si>
  <si>
    <t>CONNECTION DIAGRAM FOR CONTROL &amp; INSTRUMENT(ELECTRICAL)</t>
  </si>
  <si>
    <t>sites/ANCHOOREDDATASOLUTIONS/Shared Documents/DATA ANCHOR/VESSELS/DANAOS - GREECE/TSAKOS SHIPPING (10-09-2026)/C.V. IRENES WISDOM_203_(10-09-2026)/MANUALS/2. IRENES WISDOM/4. IRENES WISDOM-RULE/7.Electric/E-31 MAGNETIC COMPASS</t>
  </si>
  <si>
    <t>HMD H4193 MC [F].pdf</t>
  </si>
  <si>
    <t>MAGNETIC COMPASS</t>
  </si>
  <si>
    <t>4, 5, 10, 11, 12, 19</t>
  </si>
  <si>
    <t>MC-18 MANUAL 영문 (ver 3.0).pdf</t>
  </si>
  <si>
    <t>sites/ANCHOOREDDATASOLUTIONS/Shared Documents/DATA ANCHOR/VESSELS/DANAOS - GREECE/TSAKOS SHIPPING (10-09-2026)/C.V. IRENES WISDOM_203_(10-09-2026)/MANUALS/2. IRENES WISDOM/4. IRENES WISDOM-RULE/7.Electric/E-32 AUTO PILOT &amp; GYRO COMPASS</t>
  </si>
  <si>
    <t>IM-CMZ900D-E_17th.pdf</t>
  </si>
  <si>
    <t>GYRO COMPASS</t>
  </si>
  <si>
    <t xml:space="preserve">256-267, </t>
  </si>
  <si>
    <t>IM-MDR290-E_7th.pdf</t>
  </si>
  <si>
    <t>COURSE RECORDER</t>
  </si>
  <si>
    <t xml:space="preserve">66, 67, </t>
  </si>
  <si>
    <t>IM-PT500_900_N-E-9th.pdf</t>
  </si>
  <si>
    <t>AUTO PILOT</t>
  </si>
  <si>
    <t>IM-PT900-E_14th.pdf</t>
  </si>
  <si>
    <t xml:space="preserve">250-256, </t>
  </si>
  <si>
    <t>R1J2271_FINAL.pdf</t>
  </si>
  <si>
    <t>GYRO COMPASS &amp; AUTO PILOT</t>
  </si>
  <si>
    <r>
      <rPr>
        <sz val="11"/>
        <color rgb="FF000000"/>
        <rFont val="Calibri"/>
      </rPr>
      <t>4, (I</t>
    </r>
    <r>
      <rPr>
        <b/>
        <sz val="11"/>
        <color rgb="FF000000"/>
        <rFont val="Calibri"/>
      </rPr>
      <t>F SINGLE ENTRY NOT AVAILABLE IN PAGE 4 THEN ONLY EXTRACT-PG45, 47, 48, 50-53, 55-62, 64, 67, 69, 70, 72-85)</t>
    </r>
    <r>
      <rPr>
        <sz val="11"/>
        <color rgb="FF000000"/>
        <rFont val="Calibri"/>
      </rPr>
      <t>, 87, 88, 89</t>
    </r>
  </si>
  <si>
    <t>sites/ANCHOOREDDATASOLUTIONS/Shared Documents/DATA ANCHOR/VESSELS/DANAOS - GREECE/TSAKOS SHIPPING (10-09-2026)/C.V. IRENES WISDOM_203_(10-09-2026)/MANUALS/2. IRENES WISDOM/4. IRENES WISDOM-RULE/7.Electric/E-33,34,35,36,39,40,44,45,62,63 JRC</t>
  </si>
  <si>
    <t>2DJ-3533_AIS_JHS-183(E)7ZPJD0553E(V1) INSTRUCTION 210929.pdf</t>
  </si>
  <si>
    <t>AIS</t>
  </si>
  <si>
    <t xml:space="preserve">14, </t>
  </si>
  <si>
    <t>2DJ-3533_CONNING_JAN-7202_9202(E)7ZPNA4452L_V13_INSTR(Conning) 2010902.pdf</t>
  </si>
  <si>
    <t>CONNING SYSTEM</t>
  </si>
  <si>
    <t xml:space="preserve">38, 250, 271, 272, 273, </t>
  </si>
  <si>
    <t>2DJ-3533_ECDIS_7ZPNA4461E_V6_Chart Instll 190930.pdf</t>
  </si>
  <si>
    <t>ECDIS</t>
  </si>
  <si>
    <t>2DJ-3533_ECDIS_JAN-7200_9200s(E)7ZPNA4579G(V8) INSTR_FUNC2 220627.pdf</t>
  </si>
  <si>
    <t>2DJ-3533_ECDIS_JAN-7200_9200s(E)7ZPNA4739(V1) Transfering Track manual.pdf</t>
  </si>
  <si>
    <t>2DJ-3533_ECDIS_JAN-7201_9201(E)7ZPNA4449M_V14_INSTR(Basic Op) 210901.pdf</t>
  </si>
  <si>
    <t xml:space="preserve">48, 49, </t>
  </si>
  <si>
    <t>2DJ-3533_ECDIS_JAN-7201_9201(E)7ZPNA4450K_V12_INSTR(Function) 210901.pdf</t>
  </si>
  <si>
    <t>2DJ-3533_ECDIS_JAN-7201_9201(E)7ZPNA4451M_V14_INSTR(Reference) 210902.pdf</t>
  </si>
  <si>
    <t xml:space="preserve">91, 120, 121, 122, </t>
  </si>
  <si>
    <t>2DJ-3533_ECDIS_JAN-7201_9201(E)7ZPNA4640A(V2) QUICK REFERENCE_170901.pdf</t>
  </si>
  <si>
    <t>2DJ-3533_ECHO SOUNDER_JFE-700(E)7ZPNA2081(V4) INSTRUCTION 210706.pdf</t>
  </si>
  <si>
    <t>ECHO SOUNDER</t>
  </si>
  <si>
    <t>20, 24-27, 76</t>
  </si>
  <si>
    <t>2DJ-3533_EPIRB_Tron60AIS(E)7ZPSC0723(V1) OPERATION MANUAL 220822.pdf</t>
  </si>
  <si>
    <t>EPIRB</t>
  </si>
  <si>
    <t>2DJ-3533_GPS_JLR-8400(E)7ZPNA4697(V2) INSTRUCTION MANUAL 210826.pdf</t>
  </si>
  <si>
    <t>GPS</t>
  </si>
  <si>
    <t>26, 27, 138</t>
  </si>
  <si>
    <t>2DJ-3533_INM-C_JUE-87(E)7ZPSC0444A(V8) INSTRUCTION MANUAL 220106.pdf</t>
  </si>
  <si>
    <t>INMARSAT C</t>
  </si>
  <si>
    <t xml:space="preserve">38-41, 237, 245, </t>
  </si>
  <si>
    <t>2DJ-3533_INM-C_JUE-87SSAS(E)7ZPSC0450(V3) INSTRUCTION MANUAL 160510.pdf</t>
  </si>
  <si>
    <t>2DJ-3533_MFHF_AT100DS-H(E)7ZPJD0694 (V1) INSTALLATION 160627.pdf</t>
  </si>
  <si>
    <t>MF HF TRANSRECEIVER</t>
  </si>
  <si>
    <t>12, 27, 28</t>
  </si>
  <si>
    <t>2DJ-3533_MFHF_JSS-2150_2250_2500(E)7ZPJD0805(V1) INSTR 211105.pdf</t>
  </si>
  <si>
    <t xml:space="preserve">32-35, 173, 174, 175, </t>
  </si>
  <si>
    <t>2DJ-3533_NAVTEX_NCR-333(E)7ZPJD0304E(V1) INSTRUCTION 200311.pdf</t>
  </si>
  <si>
    <t>NAVTEX</t>
  </si>
  <si>
    <t xml:space="preserve">14, 101, </t>
  </si>
  <si>
    <t>2DJ-3533_RADAR_JMR-7200_9200(E)7ZPNA4446J(V12) INSTR(BasOp) 210603.pdf</t>
  </si>
  <si>
    <t>RDR</t>
  </si>
  <si>
    <t>RADAR EQUIPMENT</t>
  </si>
  <si>
    <t xml:space="preserve">62, 63, </t>
  </si>
  <si>
    <t>2DJ-3533_RADAR_JMR-7200_9200(E)7ZPNA4447G(V10) INSTR(Function) 210603.pdf</t>
  </si>
  <si>
    <t>2DJ-3533_RADAR_JMR-7200_9200s(E)7ZPNA4395(V1) QUICK OP GUIDE_161215.pdf</t>
  </si>
  <si>
    <t>2DJ-3533_RADAR_JMR-7200_9200s(E)7ZPNA4448K(V14) INSTR(Ref) 220628.pdf</t>
  </si>
  <si>
    <t xml:space="preserve">118, 119, 180-210, </t>
  </si>
  <si>
    <t>2DJ-3533_SART_Tron SART20(E)7ZPJD0462A USERS MANUAL 110207.pdf</t>
  </si>
  <si>
    <t>SART</t>
  </si>
  <si>
    <t>13, 14, 16</t>
  </si>
  <si>
    <t>2DJ-3533_SPEED LOG_JLN-720(E)7ZPNA3206(V2) INSTRUCTION 191008.pdf</t>
  </si>
  <si>
    <t>SPEED LOG</t>
  </si>
  <si>
    <t>34, 35, 131</t>
  </si>
  <si>
    <t>2DJ-3533_SPEED LOG_JLN-740_741(E)7ZPNA3208(V3) INSTRUCTION MANUAL 191009.pdf</t>
  </si>
  <si>
    <t>36, 37, 38, 39, 229</t>
  </si>
  <si>
    <t>2DJ-3533_TWO-WAY VHF_JHS-207(E)7ZPJD0793(V1) INSTRUCTION 200731.pdf</t>
  </si>
  <si>
    <t>2 WAY VHF</t>
  </si>
  <si>
    <t xml:space="preserve">25, 42, 49, </t>
  </si>
  <si>
    <t>2DJ-3533_VDR_JCY-1900(E)7ZPNA4384G(V8) INSTRUCTION 220802.pdf</t>
  </si>
  <si>
    <t>VDR</t>
  </si>
  <si>
    <t xml:space="preserve">36, 37, </t>
  </si>
  <si>
    <t>2DJ-3533_VHF_JHS-800S(E)7ZPJD0714B(V3) INSTRUCTION 210914.pdf</t>
  </si>
  <si>
    <t>VHF</t>
  </si>
  <si>
    <t xml:space="preserve">30, 141, </t>
  </si>
  <si>
    <t>2DJ-3533_W FAX_JAX-9B(E)7ZPNA4036D(V5) INSTRUCTION 120404.pdf</t>
  </si>
  <si>
    <t>WEATHER FACSIMILE</t>
  </si>
  <si>
    <t>17, 96</t>
  </si>
  <si>
    <t>sites/ANCHOOREDDATASOLUTIONS/Shared Documents/DATA ANCHOR/VESSELS/DANAOS - GREECE/TSAKOS SHIPPING (10-09-2026)/C.V. IRENES WISDOM_203_(10-09-2026)/MANUALS/2. IRENES WISDOM/4. IRENES WISDOM-RULE/7.Electric/E-43 INTEGRATED SMART SHIP SOLUTION(HYUNDAL ISS)</t>
  </si>
  <si>
    <t>ISS OPERATIONAL Manual_eng_220118(1.1.3).pdf</t>
  </si>
  <si>
    <t>INTEGRATED MONITORING AND CONTROL SYSTEM</t>
  </si>
  <si>
    <t>REV.A HMSS-4193 ISS (FOR FINAL)_20221108.pdf</t>
  </si>
  <si>
    <t>9, 10, 20, 21, 28</t>
  </si>
  <si>
    <t>sites/ANCHOOREDDATASOLUTIONS/Shared Documents/DATA ANCHOR/VESSELS/DANAOS - GREECE/TSAKOS SHIPPING (10-09-2026)/C.V. IRENES WISDOM_203_(10-09-2026)/MANUALS/2. IRENES WISDOM/4. IRENES WISDOM-RULE/7.Electric/E-52 ENGINE CONTROL CONSOLE</t>
  </si>
  <si>
    <t>202210247_HM-H4193-94_4232-35 ECC WD E03 (FULL).pdf</t>
  </si>
  <si>
    <t>ENGINE CONTROL CONSOLE</t>
  </si>
  <si>
    <t xml:space="preserve">11, 46, 47, </t>
  </si>
  <si>
    <t>Console Manua(ECC &amp; BCC).pdf</t>
  </si>
  <si>
    <t xml:space="preserve">39, 106, 178, 183, 191, 192, 219, </t>
  </si>
  <si>
    <t>sites/ANCHOOREDDATASOLUTIONS/Shared Documents/DATA ANCHOR/VESSELS/DANAOS - GREECE/TSAKOS SHIPPING (10-09-2026)/C.V. IRENES WISDOM_203_(10-09-2026)/MANUALS/2. IRENES WISDOM/4. IRENES WISDOM-RULE/7.Electric/E-53,58 ER ALARM &amp; MONITORING SYS</t>
  </si>
  <si>
    <t>20230117 HMD H4193 Final drawing.pdf</t>
  </si>
  <si>
    <t>ER ALARM &amp; MONITORING SYS</t>
  </si>
  <si>
    <r>
      <rPr>
        <sz val="11"/>
        <color rgb="FF000000"/>
        <rFont val="Calibri"/>
      </rPr>
      <t>11-15, (</t>
    </r>
    <r>
      <rPr>
        <b/>
        <sz val="11"/>
        <color rgb="FF000000"/>
        <rFont val="Calibri"/>
      </rPr>
      <t>IF THE SINGLE ENTRIES NOT AVAILABLE IN 11-15 THEN TAKE IT HERE IN PG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46, 47, 50, 54-57, 66-71, 95-98, 151,</t>
    </r>
    <r>
      <rPr>
        <sz val="11"/>
        <color rgb="FF000000"/>
        <rFont val="Calibri"/>
      </rPr>
      <t xml:space="preserve"> )337</t>
    </r>
  </si>
  <si>
    <t>Manuals</t>
  </si>
  <si>
    <t>sites/ANCHOOREDDATASOLUTIONS/Shared Documents/DATA ANCHOR/VESSELS/DANAOS - GREECE/TSAKOS SHIPPING (10-09-2026)/C.V. IRENES WISDOM_203_(10-09-2026)/MANUALS/2. IRENES WISDOM/4. IRENES WISDOM-RULE/7.Electric/E-53,58 ER ALARM &amp; MONITORING SYS/Manuals</t>
  </si>
  <si>
    <t>K-Chief 600 Maintenance Manual 442914B.pdf</t>
  </si>
  <si>
    <t>K-Chief 600 Operator Manual, Alarm and Monitoring System_338857i.pdf</t>
  </si>
  <si>
    <t>sites/ANCHOOREDDATASOLUTIONS/Shared Documents/DATA ANCHOR/VESSELS/DANAOS - GREECE/TSAKOS SHIPPING (10-09-2026)/C.V. IRENES WISDOM_203_(10-09-2026)/MANUALS/2. IRENES WISDOM/4. IRENES WISDOM-RULE/7.Electric/E-54 BRIDGE CONTROL CONSOLE</t>
  </si>
  <si>
    <t>20220817 HMD-H4193-94 SPARE PART (FULL).pdf</t>
  </si>
  <si>
    <t>ENGIE/BRIDGE CONTROL CONSOLE</t>
  </si>
  <si>
    <t xml:space="preserve">3, 4, 5, 6, </t>
  </si>
  <si>
    <t>221004 HMD 4193 BCC C 01 (FINAL).pdf</t>
  </si>
  <si>
    <t>BRIDGE CONTROL CONSOLE</t>
  </si>
  <si>
    <t xml:space="preserve">11, </t>
  </si>
  <si>
    <t>sites/ANCHOOREDDATASOLUTIONS/Shared Documents/DATA ANCHOR/VESSELS/DANAOS - GREECE/TSAKOS SHIPPING (10-09-2026)/C.V. IRENES WISDOM_203_(10-09-2026)/MANUALS/2. IRENES WISDOM/4. IRENES WISDOM-RULE/7.Electric/E-59 INSTRUMENTS</t>
  </si>
  <si>
    <t>H4193_F(Electric sensor).pdf</t>
  </si>
  <si>
    <t>LEVEL INDICATORS</t>
  </si>
  <si>
    <t>LEVEL SENSOR</t>
  </si>
  <si>
    <t>3, 4, 5, 9, 13, 15, 17, 19, 21, 23, 25,26, 27</t>
  </si>
  <si>
    <t>MANUAL.pdf</t>
  </si>
  <si>
    <t>LEVEL SWITCH</t>
  </si>
  <si>
    <t xml:space="preserve">22, 23, 32, 33, </t>
  </si>
  <si>
    <t>sites/ANCHOOREDDATASOLUTIONS/Shared Documents/DATA ANCHOR/VESSELS/DANAOS - GREECE/TSAKOS SHIPPING (10-09-2026)/C.V. IRENES WISDOM_203_(10-09-2026)/MANUALS/2. IRENES WISDOM/4. IRENES WISDOM-RULE/7.Electric/E-75 ELEC. EQUIP. FOR REEFER MONITORING SYSTEM</t>
  </si>
  <si>
    <t>CCT-HMD H4193-94 RD9 RCMS Final-R0 221114_최종.pdf</t>
  </si>
  <si>
    <t>REEFER MONITORING SYSTEM</t>
  </si>
  <si>
    <t>17, 19, 25, 36</t>
  </si>
  <si>
    <t>JYOTSHNA_CCT-HMD H4193-94 RD9 RCMS Final-R0 221114_최종.pdf.xlsx</t>
  </si>
  <si>
    <t>REFMAN Ver 2.9 MANUAL(RMM) R1.pdf</t>
  </si>
  <si>
    <t>sites/ANCHOOREDDATASOLUTIONS/Shared Documents/DATA ANCHOR/VESSELS/DANAOS - GREECE/TSAKOS SHIPPING (10-09-2026)/C.V. IRENES WISDOM_203_(10-09-2026)/MANUALS/2. IRENES WISDOM/4. IRENES WISDOM-RULE/7.Electric/E-77 DIESEL GENERATOR</t>
  </si>
  <si>
    <t>HMD/H4193</t>
  </si>
  <si>
    <t>ALTERNATOR</t>
  </si>
  <si>
    <t>SYNCHRONOUS GENERATOR (D/G ALTERNATOR)</t>
  </si>
  <si>
    <t>4, 12, 15, 23</t>
  </si>
  <si>
    <t>AISWARIYA_H4193 FINAL.pdf.xlsx</t>
  </si>
  <si>
    <t>OPERATING MANUAL_SYNCHRONOUS GENERATOR_HE (HSJ 7TYPE).pdf</t>
  </si>
  <si>
    <t>11, 12, 13, 14</t>
  </si>
  <si>
    <t>AISWARIYA_OPERATING MANUAL_SYNCHRONOUS GENERATOR_HE (HSJ 7TYPE).pdf.xlsx</t>
  </si>
  <si>
    <t>sites/ANCHOOREDDATASOLUTIONS/Shared Documents/DATA ANCHOR/VESSELS/DANAOS - GREECE/TSAKOS SHIPPING (10-09-2026)/C.V. IRENES WISDOM_203_(10-09-2026)/MANUALS/2. IRENES WISDOM/4. IRENES WISDOM-RULE/7.Electric/E-78 EM'CY DIESEL GENERATOR SET</t>
  </si>
  <si>
    <t>1. Specification</t>
  </si>
  <si>
    <t>2. Engine</t>
  </si>
  <si>
    <t>3. Alternator</t>
  </si>
  <si>
    <t>4. 2nd Starter</t>
  </si>
  <si>
    <t>5. Elec. Parts for GPC</t>
  </si>
  <si>
    <t>sites/ANCHOOREDDATASOLUTIONS/Shared Documents/DATA ANCHOR/VESSELS/DANAOS - GREECE/TSAKOS SHIPPING (10-09-2026)/C.V. IRENES WISDOM_203_(10-09-2026)/MANUALS/2. IRENES WISDOM/4. IRENES WISDOM-RULE/7.Electric/E-78 EM'CY DIESEL GENERATOR SET/1. Specification</t>
  </si>
  <si>
    <t>1-1. Specification for H4193.pdf</t>
  </si>
  <si>
    <t>EMERGENCY GENERATOR</t>
  </si>
  <si>
    <t>EM'CY DIESEL GENERATOR SET</t>
  </si>
  <si>
    <t>27, 29, 30, 31, 54, 55, 56</t>
  </si>
  <si>
    <t>Saranay_1-1. Specification for H4193.pdf.xlsx</t>
  </si>
  <si>
    <t>RADHIKA_Saranay_1-1. Specification for H4193.pdf</t>
  </si>
  <si>
    <t>https://dasoulutions.sharepoint.com/:x:/r/sites/ANCHOOREDDATASOLUTIONS/_layouts/15/Doc.aspx?sourcedoc=%7BE2D2D165-BADE-4206-929E-F73830839E9B%7D&amp;file=Saranay_1-1.%20Specification%20for%20H4193.pdf.xlsx&amp;action=default&amp;mobileredirect=true</t>
  </si>
  <si>
    <t>1-2. Fuel Dilution Recommendation.pdf</t>
  </si>
  <si>
    <t>1-3. L.O Contamination for Emergency generator engine.pdf</t>
  </si>
  <si>
    <t>1-4. Cleaning the Radiator Core.pdf</t>
  </si>
  <si>
    <t>sites/ANCHOOREDDATASOLUTIONS/Shared Documents/DATA ANCHOR/VESSELS/DANAOS - GREECE/TSAKOS SHIPPING (10-09-2026)/C.V. IRENES WISDOM_203_(10-09-2026)/MANUALS/2. IRENES WISDOM/4. IRENES WISDOM-RULE/7.Electric/E-78 EM'CY DIESEL GENERATOR SET/2. Engine</t>
  </si>
  <si>
    <t>2-1. AD086TI Operation and Maintenance Manual.pdf</t>
  </si>
  <si>
    <t>7, 8, 96, 110</t>
  </si>
  <si>
    <t>SARANYA_2-1. AD086TI Operation and Maintenance Manual.pdf.xlsx</t>
  </si>
  <si>
    <t>RADHIKA_SARANYA_2-1. AD086TI Operation and Maintenance Manual.pdf</t>
  </si>
  <si>
    <t>https://dasoulutions.sharepoint.com/:x:/r/sites/ANCHOOREDDATASOLUTIONS/_layouts/15/Doc.aspx?sourcedoc=%7BDDD42A42-A546-445D-BA0F-6DCB83BA51DB%7D&amp;file=SARANYA_2-1.%20AD086TI%20Operation%20and%20Maintenance%20Manual.pdf.xlsx&amp;action=default&amp;mobileredirect=true</t>
  </si>
  <si>
    <t>2-2. AD086TI Part Book.pdf</t>
  </si>
  <si>
    <t>6, 8, 10, 12, 14, 16, 18, 20, 22, 24, 26, 28, 30, 32, 34, 36, 38, 40, 42, 44, 46, 48, 50, 52, 54, 56, 58, 60, 62, 64, 66, 68, 70, 72, 74, 76, 78, 80, 82, 84, 86, 88, 90, 92</t>
  </si>
  <si>
    <t>SARANAY_2-2. AD086TI Part Book.pdf.xlsx</t>
  </si>
  <si>
    <t>RADHIKA_SARANAY_2-2. AD086TI Part Book.pdf</t>
  </si>
  <si>
    <t>https://dasoulutions.sharepoint.com/:x:/r/sites/ANCHOOREDDATASOLUTIONS/_layouts/15/Doc.aspx?sourcedoc=%7B2B050260-9D29-47D6-8C1C-53CDFA0040AD%7D&amp;file=SARANAY_2-2.%20AD086TI%20Part%20Book.pdf.xlsx&amp;action=default&amp;mobileredirect=true</t>
  </si>
  <si>
    <t>sites/ANCHOOREDDATASOLUTIONS/Shared Documents/DATA ANCHOR/VESSELS/DANAOS - GREECE/TSAKOS SHIPPING (10-09-2026)/C.V. IRENES WISDOM_203_(10-09-2026)/MANUALS/2. IRENES WISDOM/4. IRENES WISDOM-RULE/7.Electric/E-78 EM'CY DIESEL GENERATOR SET/3. Alternator</t>
  </si>
  <si>
    <t>3-1. Installation and maintenance for LSAM 46.3.pdf</t>
  </si>
  <si>
    <t>EM'CY DIESEL GENERATOR ALTERNATOR</t>
  </si>
  <si>
    <t>19, 22</t>
  </si>
  <si>
    <t>SARANYA_3-1. Installation and maintenance for LSAM 46.3.pdf.xlsx</t>
  </si>
  <si>
    <t>RADHIKA_SARANYA_3-1. Installation and maintenance for LSAM 46.3.pdf</t>
  </si>
  <si>
    <t>https://dasoulutions.sharepoint.com/:x:/r/sites/ANCHOOREDDATASOLUTIONS/_layouts/15/Doc.aspx?sourcedoc=%7BD99DA324-947D-4649-A1FC-2BF1D70732C3%7D&amp;file=SARANYA_3-1.%20Installation%20and%20maintenance%20for%20LSAM%2046.3.pdf.xlsx&amp;action=default&amp;mobileredirect=true</t>
  </si>
  <si>
    <t>3-2. AVR (D350).pdf</t>
  </si>
  <si>
    <t>SARANYA_3-2. AVR (D350).pdf.xlsx</t>
  </si>
  <si>
    <t>RADHIKA_SARANYA_3-2. AVR (D350).pdf</t>
  </si>
  <si>
    <t>https://dasoulutions.sharepoint.com/:x:/r/sites/ANCHOOREDDATASOLUTIONS/_layouts/15/Doc.aspx?sourcedoc=%7BFDA2C439-FAB8-4DC1-A23D-33E2C9332F1E%7D&amp;file=SARANYA_3-2.%20AVR%20(D350).pdf.xlsx&amp;action=default&amp;mobileredirect=true</t>
  </si>
  <si>
    <t>sites/ANCHOOREDDATASOLUTIONS/Shared Documents/DATA ANCHOR/VESSELS/DANAOS - GREECE/TSAKOS SHIPPING (10-09-2026)/C.V. IRENES WISDOM_203_(10-09-2026)/MANUALS/2. IRENES WISDOM/4. IRENES WISDOM-RULE/7.Electric/E-78 EM'CY DIESEL GENERATOR SET/4. 2nd Starter</t>
  </si>
  <si>
    <t>4. Spring Starter.pdf</t>
  </si>
  <si>
    <t>5, 13, 14</t>
  </si>
  <si>
    <t>SARANYA_4. Spring Starter.pdf.xlsx</t>
  </si>
  <si>
    <t>RADHIKA_SARANYA_4. Spring Starter.pdf</t>
  </si>
  <si>
    <t>https://dasoulutions.sharepoint.com/:x:/r/sites/ANCHOOREDDATASOLUTIONS/_layouts/15/Doc.aspx?sourcedoc=%7BDAA9F89C-49EC-44E6-BA53-76056646D597%7D&amp;file=SARANYA_4.%20Spring%20Starter.pdf.xlsx&amp;action=default&amp;mobileredirect=true</t>
  </si>
  <si>
    <t>sites/ANCHOOREDDATASOLUTIONS/Shared Documents/DATA ANCHOR/VESSELS/DANAOS - GREECE/TSAKOS SHIPPING (10-09-2026)/C.V. IRENES WISDOM_203_(10-09-2026)/MANUALS/2. IRENES WISDOM/4. IRENES WISDOM-RULE/7.Electric/E-78 EM'CY DIESEL GENERATOR SET/5. Elec. Parts for GPC</t>
  </si>
  <si>
    <t>5-1. ECP-21 User's Manual - GPC.pdf</t>
  </si>
  <si>
    <t>5-2. Battery Charger Manual - GPC.pdf</t>
  </si>
  <si>
    <t>5-3. Control Panel Parts List.pdf</t>
  </si>
  <si>
    <t xml:space="preserve">2, 3, 4, 5, </t>
  </si>
  <si>
    <t>SARANYA_5-3. Control Panel Parts List.pdf.xlsx</t>
  </si>
  <si>
    <t>RADHIKA_SARANYA_5-3. Control Panel Parts List.pdf</t>
  </si>
  <si>
    <t>https://dasoulutions.sharepoint.com/:x:/r/sites/ANCHOOREDDATASOLUTIONS/_layouts/15/Doc.aspx?sourcedoc=%7BBC08589A-84C8-4D5B-8DBC-D0606BF41506%7D&amp;file=SARANYA_5-3.%20Control%20Panel%20Parts%20List.pdf.xlsx&amp;action=default&amp;mobileredirect=true</t>
  </si>
  <si>
    <t>sites/ANCHOOREDDATASOLUTIONS/Shared Documents/DATA ANCHOR/VESSELS/DANAOS - GREECE/TSAKOS SHIPPING (10-09-2026)/C.V. IRENES WISDOM_203_(10-09-2026)/MANUALS/2. IRENES WISDOM/4. IRENES WISDOM-RULE/7.Electric/E-79 POWER &amp; LIGHTING TRANSFORMER</t>
  </si>
  <si>
    <t>220422 Installation, use and maintenance manual Rev.3.pdf</t>
  </si>
  <si>
    <t>POWER &amp; LIGHTING TRANSFORMER</t>
  </si>
  <si>
    <t>221107 KD222001 For Final DWG (For HMD 4193s TR.).pdf</t>
  </si>
  <si>
    <t>sites/ANCHOOREDDATASOLUTIONS/Shared Documents/DATA ANCHOR/VESSELS/DANAOS - GREECE/TSAKOS SHIPPING (10-09-2026)/C.V. IRENES WISDOM_203_(10-09-2026)/MANUALS/2. IRENES WISDOM/4. IRENES WISDOM-RULE/7.Electric/E-81 INSTRUCTIOIN MANUAL FOR MAIN &amp; EM'CY SWITCHBOARD &amp; STARTER</t>
  </si>
  <si>
    <t>0.INSTRUCTION MANUAL FOR 440V switchboard.pdf</t>
  </si>
  <si>
    <t>SWITCHBOARD AND STARTERS</t>
  </si>
  <si>
    <t>10.DIGITAL MOTOR PROTECTION RELAY.pdf</t>
  </si>
  <si>
    <t>1-1.INSTRUCTION MANUAL FOR SWBD.pdf</t>
  </si>
  <si>
    <t>11.TIMER.pdf</t>
  </si>
  <si>
    <t>4, 5, 6, 7</t>
  </si>
  <si>
    <t>1-2.INSTRUCTION MANUAL FOR STARTER.pdf</t>
  </si>
  <si>
    <t>2.AIR CIRCUIT BREAKER.pdf</t>
  </si>
  <si>
    <t>7, 10, 11, 17</t>
  </si>
  <si>
    <t>3-1.MOLDED CASE CIRCUIT BREAKER(HBD52D).pdf</t>
  </si>
  <si>
    <t>3-2.MOLDED CASE CIRCUIT BREAKER(HGP).pdf</t>
  </si>
  <si>
    <t xml:space="preserve">31, </t>
  </si>
  <si>
    <t>3-3.MOLDED CASE CIRCUIT BREAKER(HGM).pdf</t>
  </si>
  <si>
    <t xml:space="preserve">35, </t>
  </si>
  <si>
    <t>4.PMS USER MANUAL.pdf</t>
  </si>
  <si>
    <t>5.GROUND FAULT MONITOR.pdf</t>
  </si>
  <si>
    <t>6.GROUP ANNUNCIATOR.pdf</t>
  </si>
  <si>
    <t>7.REPLACEMENT OF FDC-CONNECTION MCCB WITH SPARE.pdf</t>
  </si>
  <si>
    <t>8.MOTOR CONTROLLER.pdf</t>
  </si>
  <si>
    <t>7, 11, 14, 17, 20, 23, 25, 29, 31, 35, 37</t>
  </si>
  <si>
    <t>9.MAGNETIC CONTACTOR &amp; THERMAL OCR.pdf</t>
  </si>
  <si>
    <t>6, 9, 14, 15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</si>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</sst>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0"/>
      <name val="Arial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rgb="FF242424"/>
      <name val="Calibri"/>
    </font>
    <font>
      <b/>
      <u/>
      <sz val="11"/>
      <color rgb="FF467886"/>
      <name val="Calibri"/>
    </font>
    <font>
      <u/>
      <sz val="11"/>
      <color rgb="FF467886"/>
      <name val="Calibri"/>
    </font>
    <font>
      <sz val="11"/>
      <color rgb="FFFF0000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/>
    <xf numFmtId="0" fontId="22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1" xfId="0" applyBorder="1"/>
    <xf numFmtId="0" fontId="22" fillId="0" borderId="0" xfId="44"/>
    <xf numFmtId="0" fontId="23" fillId="0" borderId="11" xfId="0" applyFont="1" applyBorder="1"/>
    <xf numFmtId="0" fontId="18" fillId="0" borderId="11" xfId="0" applyFont="1" applyBorder="1" applyAlignment="1">
      <alignment horizontal="left"/>
    </xf>
    <xf numFmtId="0" fontId="24" fillId="0" borderId="0" xfId="0" applyFont="1"/>
    <xf numFmtId="0" fontId="24" fillId="0" borderId="11" xfId="0" applyFont="1" applyBorder="1"/>
    <xf numFmtId="0" fontId="0" fillId="0" borderId="16" xfId="0" applyBorder="1"/>
    <xf numFmtId="0" fontId="25" fillId="35" borderId="10" xfId="0" applyFont="1" applyFill="1" applyBorder="1" applyAlignment="1">
      <alignment horizontal="center"/>
    </xf>
    <xf numFmtId="0" fontId="26" fillId="0" borderId="11" xfId="0" applyFont="1" applyBorder="1" applyAlignment="1">
      <alignment horizontal="left"/>
    </xf>
    <xf numFmtId="0" fontId="26" fillId="37" borderId="11" xfId="0" applyFont="1" applyFill="1" applyBorder="1" applyAlignment="1">
      <alignment horizontal="left"/>
    </xf>
    <xf numFmtId="0" fontId="26" fillId="42" borderId="11" xfId="0" applyFont="1" applyFill="1" applyBorder="1" applyAlignment="1">
      <alignment horizontal="left"/>
    </xf>
    <xf numFmtId="0" fontId="26" fillId="42" borderId="11" xfId="0" applyFont="1" applyFill="1" applyBorder="1" applyAlignment="1">
      <alignment horizontal="left" vertical="center"/>
    </xf>
    <xf numFmtId="0" fontId="26" fillId="37" borderId="11" xfId="0" applyFont="1" applyFill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10" xfId="0" applyFont="1" applyBorder="1" applyAlignment="1">
      <alignment horizontal="left"/>
    </xf>
    <xf numFmtId="0" fontId="26" fillId="0" borderId="11" xfId="0" applyFont="1" applyBorder="1"/>
    <xf numFmtId="0" fontId="27" fillId="33" borderId="12" xfId="0" applyFont="1" applyFill="1" applyBorder="1"/>
    <xf numFmtId="0" fontId="27" fillId="33" borderId="12" xfId="0" applyFont="1" applyFill="1" applyBorder="1" applyAlignment="1">
      <alignment horizontal="left"/>
    </xf>
    <xf numFmtId="0" fontId="28" fillId="0" borderId="11" xfId="0" applyFont="1" applyBorder="1"/>
    <xf numFmtId="14" fontId="26" fillId="0" borderId="11" xfId="0" applyNumberFormat="1" applyFont="1" applyBorder="1"/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/>
    </xf>
    <xf numFmtId="0" fontId="27" fillId="33" borderId="0" xfId="0" applyFont="1" applyFill="1" applyAlignment="1">
      <alignment horizontal="left"/>
    </xf>
    <xf numFmtId="0" fontId="27" fillId="33" borderId="0" xfId="0" applyFont="1" applyFill="1"/>
    <xf numFmtId="0" fontId="27" fillId="33" borderId="0" xfId="0" applyFont="1" applyFill="1" applyAlignment="1">
      <alignment vertical="center"/>
    </xf>
    <xf numFmtId="0" fontId="27" fillId="33" borderId="0" xfId="0" applyFont="1" applyFill="1" applyAlignment="1">
      <alignment horizontal="right"/>
    </xf>
    <xf numFmtId="0" fontId="24" fillId="33" borderId="0" xfId="0" applyFont="1" applyFill="1"/>
    <xf numFmtId="0" fontId="28" fillId="0" borderId="12" xfId="0" applyFont="1" applyBorder="1"/>
    <xf numFmtId="0" fontId="27" fillId="33" borderId="11" xfId="0" applyFont="1" applyFill="1" applyBorder="1"/>
    <xf numFmtId="0" fontId="25" fillId="35" borderId="13" xfId="0" applyFont="1" applyFill="1" applyBorder="1" applyAlignment="1">
      <alignment horizontal="center"/>
    </xf>
    <xf numFmtId="0" fontId="25" fillId="35" borderId="11" xfId="0" applyFont="1" applyFill="1" applyBorder="1" applyAlignment="1">
      <alignment horizontal="center"/>
    </xf>
    <xf numFmtId="0" fontId="25" fillId="35" borderId="11" xfId="0" applyFont="1" applyFill="1" applyBorder="1" applyAlignment="1">
      <alignment horizontal="left"/>
    </xf>
    <xf numFmtId="0" fontId="27" fillId="39" borderId="11" xfId="0" applyFont="1" applyFill="1" applyBorder="1" applyAlignment="1">
      <alignment horizontal="center"/>
    </xf>
    <xf numFmtId="0" fontId="25" fillId="36" borderId="11" xfId="0" applyFont="1" applyFill="1" applyBorder="1" applyAlignment="1">
      <alignment horizontal="center"/>
    </xf>
    <xf numFmtId="0" fontId="25" fillId="34" borderId="11" xfId="0" applyFont="1" applyFill="1" applyBorder="1" applyAlignment="1">
      <alignment horizontal="center"/>
    </xf>
    <xf numFmtId="0" fontId="25" fillId="40" borderId="11" xfId="0" applyFont="1" applyFill="1" applyBorder="1" applyAlignment="1">
      <alignment horizontal="center"/>
    </xf>
    <xf numFmtId="0" fontId="25" fillId="38" borderId="1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41" borderId="11" xfId="0" applyFont="1" applyFill="1" applyBorder="1" applyAlignment="1">
      <alignment horizontal="left"/>
    </xf>
    <xf numFmtId="0" fontId="24" fillId="41" borderId="14" xfId="0" applyFont="1" applyFill="1" applyBorder="1"/>
    <xf numFmtId="0" fontId="29" fillId="41" borderId="11" xfId="44" applyFont="1" applyFill="1" applyBorder="1" applyAlignment="1"/>
    <xf numFmtId="0" fontId="24" fillId="41" borderId="11" xfId="0" applyFont="1" applyFill="1" applyBorder="1"/>
    <xf numFmtId="0" fontId="24" fillId="41" borderId="12" xfId="0" applyFont="1" applyFill="1" applyBorder="1"/>
    <xf numFmtId="0" fontId="26" fillId="41" borderId="11" xfId="0" applyFont="1" applyFill="1" applyBorder="1" applyAlignment="1">
      <alignment horizontal="left" vertical="center"/>
    </xf>
    <xf numFmtId="0" fontId="26" fillId="41" borderId="0" xfId="0" applyFont="1" applyFill="1"/>
    <xf numFmtId="0" fontId="24" fillId="0" borderId="14" xfId="0" applyFont="1" applyBorder="1"/>
    <xf numFmtId="0" fontId="29" fillId="0" borderId="11" xfId="44" applyFont="1" applyFill="1" applyBorder="1" applyAlignment="1"/>
    <xf numFmtId="0" fontId="24" fillId="0" borderId="12" xfId="0" applyFont="1" applyBorder="1"/>
    <xf numFmtId="0" fontId="30" fillId="0" borderId="11" xfId="0" applyFont="1" applyBorder="1"/>
    <xf numFmtId="0" fontId="26" fillId="37" borderId="0" xfId="0" applyFont="1" applyFill="1"/>
    <xf numFmtId="0" fontId="26" fillId="0" borderId="12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24" fillId="41" borderId="17" xfId="0" applyFont="1" applyFill="1" applyBorder="1"/>
    <xf numFmtId="0" fontId="26" fillId="37" borderId="0" xfId="0" applyFont="1" applyFill="1" applyAlignment="1">
      <alignment horizontal="left"/>
    </xf>
    <xf numFmtId="0" fontId="26" fillId="37" borderId="0" xfId="0" applyFont="1" applyFill="1" applyAlignment="1">
      <alignment horizontal="left" vertical="center"/>
    </xf>
    <xf numFmtId="0" fontId="26" fillId="0" borderId="11" xfId="0" applyFont="1" applyBorder="1" applyAlignment="1">
      <alignment horizontal="left" wrapText="1"/>
    </xf>
    <xf numFmtId="0" fontId="29" fillId="0" borderId="0" xfId="44" applyFont="1" applyFill="1"/>
    <xf numFmtId="0" fontId="32" fillId="0" borderId="11" xfId="44" applyFont="1" applyFill="1" applyBorder="1" applyAlignment="1"/>
    <xf numFmtId="0" fontId="30" fillId="0" borderId="10" xfId="0" applyFont="1" applyBorder="1"/>
    <xf numFmtId="0" fontId="0" fillId="0" borderId="11" xfId="0" applyBorder="1" applyAlignment="1">
      <alignment horizontal="left"/>
    </xf>
    <xf numFmtId="0" fontId="26" fillId="37" borderId="18" xfId="0" applyFont="1" applyFill="1" applyBorder="1" applyAlignment="1">
      <alignment horizontal="left"/>
    </xf>
    <xf numFmtId="0" fontId="24" fillId="41" borderId="10" xfId="0" applyFont="1" applyFill="1" applyBorder="1"/>
    <xf numFmtId="0" fontId="24" fillId="41" borderId="15" xfId="0" applyFont="1" applyFill="1" applyBorder="1"/>
    <xf numFmtId="0" fontId="26" fillId="37" borderId="12" xfId="0" applyFont="1" applyFill="1" applyBorder="1" applyAlignment="1">
      <alignment horizontal="left"/>
    </xf>
    <xf numFmtId="0" fontId="26" fillId="41" borderId="14" xfId="0" applyFont="1" applyFill="1" applyBorder="1" applyAlignment="1">
      <alignment horizontal="left" vertical="center"/>
    </xf>
    <xf numFmtId="0" fontId="25" fillId="34" borderId="10" xfId="0" applyFont="1" applyFill="1" applyBorder="1" applyAlignment="1">
      <alignment horizontal="center"/>
    </xf>
    <xf numFmtId="0" fontId="29" fillId="42" borderId="11" xfId="44" applyFont="1" applyFill="1" applyBorder="1" applyAlignment="1"/>
    <xf numFmtId="0" fontId="26" fillId="0" borderId="14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14" fontId="26" fillId="37" borderId="11" xfId="0" applyNumberFormat="1" applyFont="1" applyFill="1" applyBorder="1" applyAlignment="1">
      <alignment horizontal="left"/>
    </xf>
    <xf numFmtId="0" fontId="24" fillId="0" borderId="11" xfId="0" applyFont="1" applyBorder="1" applyAlignment="1">
      <alignment horizontal="left"/>
    </xf>
    <xf numFmtId="16" fontId="26" fillId="0" borderId="11" xfId="0" applyNumberFormat="1" applyFont="1" applyBorder="1" applyAlignment="1">
      <alignment horizontal="left"/>
    </xf>
    <xf numFmtId="0" fontId="26" fillId="43" borderId="11" xfId="0" applyFont="1" applyFill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24" fillId="39" borderId="12" xfId="0" applyFont="1" applyFill="1" applyBorder="1" applyAlignment="1">
      <alignment horizontal="left"/>
    </xf>
    <xf numFmtId="0" fontId="26" fillId="37" borderId="14" xfId="0" applyFont="1" applyFill="1" applyBorder="1" applyAlignment="1">
      <alignment horizontal="left"/>
    </xf>
    <xf numFmtId="0" fontId="26" fillId="37" borderId="10" xfId="0" applyFont="1" applyFill="1" applyBorder="1" applyAlignment="1">
      <alignment horizontal="left"/>
    </xf>
    <xf numFmtId="0" fontId="26" fillId="37" borderId="15" xfId="0" applyFont="1" applyFill="1" applyBorder="1" applyAlignment="1">
      <alignment horizontal="left"/>
    </xf>
    <xf numFmtId="0" fontId="26" fillId="39" borderId="11" xfId="0" applyFont="1" applyFill="1" applyBorder="1" applyAlignment="1">
      <alignment horizontal="left"/>
    </xf>
    <xf numFmtId="0" fontId="22" fillId="37" borderId="11" xfId="44" applyFill="1" applyBorder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1CF66FF-3EC0-4CA9-AC51-1F937A68BE4C}"/>
    <cellStyle name="Normal 3" xfId="43" xr:uid="{DA3D9B02-C587-4035-A161-253E8805E5B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E99E919-B433-462F-8F88-8066FA282790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Kirthika" id="{09D64F16-3405-421F-84FE-91FDD4E019DD}" userId="S::kirthika@anchoreddata.org::eed14381-8426-4116-ad7c-b24179eae25c" providerId="AD"/>
  <person displayName="Sandhya Rani Das" id="{3CD7B569-99A6-48DC-966E-9A526D3EF689}" userId="S::sandhyaranidas@anchoreddata.org::5326f631-75d5-4fc8-ad5f-d09c0aedfd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R194" dT="2026-09-16T10:55:56.32" personId="{3CD7B569-99A6-48DC-966E-9A526D3EF689}" id="{D351479A-324D-497F-A051-8026A6F4851B}">
    <text xml:space="preserve">SOME PAGES ARE YARD PAGES WHICH ALREADY EXTRACTED.
</text>
  </threadedComment>
  <threadedComment ref="AR195" dT="2026-09-16T10:56:15.57" personId="{3CD7B569-99A6-48DC-966E-9A526D3EF689}" id="{5F3CD28D-1E8A-4977-A158-E6FD16F498CB}">
    <text xml:space="preserve">SOME PAGES ARE YARD PAGES WHICH ALREADY EXTRACTED.
</text>
  </threadedComment>
  <threadedComment ref="AR277" dT="2026-09-16T10:01:09.18" personId="{09D64F16-3405-421F-84FE-91FDD4E019DD}" id="{448388F4-C053-4BBD-BDC9-59A81658BD7D}">
    <text>THIS MANUAL HAS SAME PAGES OF (FINAL DWG)HMD_4193_94_ ECS-600Bx1_REV.0_220916.pdf 98-100</text>
    <extLst>
      <x:ext xmlns:xltc2="http://schemas.microsoft.com/office/spreadsheetml/2020/threadedcomments2" uri="{F7C98A9C-CBB3-438F-8F68-D28B6AF4A901}">
        <xltc2:checksum>3570017388</xltc2:checksum>
        <xltc2:hyperlink startIndex="30" length="51" url="https://inc-excel.officeapps.live.com/x/MANUALS/2.%20IRENES%20WISDOM/4.%20IRENES%20WISDOM-RULE/6.Machinery/M-32%20BALLAST%20WATER%20TREATMENT%20PLANT/(FINAL%20DWG)HMD_4193_94_%20ECS-600Bx1_REV.0_220916.pd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MANUALS/2.%20IRENES%20WISDOM/4.%20IRENES%20WISDOM-RULE/4.Accommodation/A-14_ARRG%27T%20OF%20SHIP%27S%20OFFICE%20%26%20B.C.R.pdf" TargetMode="External"/><Relationship Id="rId21" Type="http://schemas.openxmlformats.org/officeDocument/2006/relationships/hyperlink" Target="../MANUALS/2.%20IRENES%20WISDOM/4.%20IRENES%20WISDOM-RULE/1.Basic/B-18_LOADING%20COMPUTER(FOR%20OWNER%20APPROVAL).pdf" TargetMode="External"/><Relationship Id="rId324" Type="http://schemas.openxmlformats.org/officeDocument/2006/relationships/hyperlink" Target="../MANUALS/2.%20IRENES%20WISDOM/4.%20IRENES%20WISDOM-RULE/6.Machinery/M-46%20PURIFIER/7.%20Instruction%20manual%20for%20OSF12.pdf" TargetMode="External"/><Relationship Id="rId531" Type="http://schemas.openxmlformats.org/officeDocument/2006/relationships/hyperlink" Target="https://dasoulutions.sharepoint.com/:x:/s/ANCHOOREDDATASOLUTIONS/IQCcKM0sFAM9TL3P4sMgDxoUAXOPc5qv4HsfixAezZoYl-o?e=9JWN4F" TargetMode="External"/><Relationship Id="rId170" Type="http://schemas.openxmlformats.org/officeDocument/2006/relationships/hyperlink" Target="../MANUALS/2.%20IRENES%20WISDOM/4.%20IRENES%20WISDOM-RULE/5.Hull%20Piping/P-2_DIAGRAM%20OF%20GAUGE%20%26%20CONTROL%20SYSTEM.pdf" TargetMode="External"/><Relationship Id="rId26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4%20MAIN%20ENGINE%2F2&amp;View=%7BB2C268B8%2DAED3%2D4876%2D837F%2DD0E595242160%7D" TargetMode="External"/><Relationship Id="rId475" Type="http://schemas.openxmlformats.org/officeDocument/2006/relationships/hyperlink" Target="../MANUALS/2.%20IRENES%20WISDOM/4.%20IRENES%20WISDOM-RULE/7.Electric/E-78%20EM%27CY%20DIESEL%20GENERATOR%20SET/2.%20Engine/2-1.%20AD086TI%20Operation%20and%20Maintenance%20Manual.pdf" TargetMode="External"/><Relationship Id="rId32" Type="http://schemas.openxmlformats.org/officeDocument/2006/relationships/hyperlink" Target="../MANUALS/2.%20IRENES%20WISDOM/4.%20IRENES%20WISDOM-RULE/1.Basic/B-7_DRAFT%20MARK%20PLAN.pdf" TargetMode="External"/><Relationship Id="rId128" Type="http://schemas.openxmlformats.org/officeDocument/2006/relationships/hyperlink" Target="../MANUALS/2.%20IRENES%20WISDOM/4.%20IRENES%20WISDOM-RULE/4.Accommodation/A-24%20WINDOW.pdf" TargetMode="External"/><Relationship Id="rId335" Type="http://schemas.openxmlformats.org/officeDocument/2006/relationships/hyperlink" Target="../MANUALS/2.%20IRENES%20WISDOM/4.%20IRENES%20WISDOM-RULE/6.Machinery/M-48%20AIR%20COMPRESSOR/2/H4193%20FINAL.pdf" TargetMode="External"/><Relationship Id="rId542" Type="http://schemas.openxmlformats.org/officeDocument/2006/relationships/hyperlink" Target="https://dasoulutions.sharepoint.com/:x:/s/ANCHOOREDDATASOLUTIONS/IQDIxMRYQfGhSrXBHm82zUChAY4PmgajDw5hOYb9xB5lxMw?e=XXupkv" TargetMode="External"/><Relationship Id="rId181" Type="http://schemas.openxmlformats.org/officeDocument/2006/relationships/hyperlink" Target="../MANUALS/2.%20IRENES%20WISDOM/4.%20IRENES%20WISDOM-RULE/5.Hull%20Piping/P-9_PIPING%20ARR%27T%20OF%20SIDE%20VOID.pdf" TargetMode="External"/><Relationship Id="rId402" Type="http://schemas.openxmlformats.org/officeDocument/2006/relationships/hyperlink" Target="../MANUALS/2.%20IRENES%20WISDOM/4.%20IRENES%20WISDOM-RULE/7.Electric/E-71%20EM%27CY%20STOP%20SWITCH%20BOX.pdf" TargetMode="External"/><Relationship Id="rId279" Type="http://schemas.openxmlformats.org/officeDocument/2006/relationships/hyperlink" Target="../MANUALS/2.%20IRENES%20WISDOM/4.%20IRENES%20WISDOM-RULE/6.Machinery/M-34%20MAIN%20ENGINE/2/data/Final%20Drawing%20for%20ME%20HP%20SCR.pdf" TargetMode="External"/><Relationship Id="rId486" Type="http://schemas.openxmlformats.org/officeDocument/2006/relationships/hyperlink" Target="../MANUALS/2.%20IRENES%20WISDOM/4.%20IRENES%20WISDOM-RULE/7.Electric/E-81%20INSTRUCTIOIN%20MANUAL%20FOR%20MAIN%20%26%20EM%27CY%20SWITCHBOARD%20%26%20STARTER/10.DIGITAL%20MOTOR%20PROTECTION%20RELAY.pdf" TargetMode="External"/><Relationship Id="rId43" Type="http://schemas.openxmlformats.org/officeDocument/2006/relationships/hyperlink" Target="../MANUALS/2.%20IRENES%20WISDOM/4.%20IRENES%20WISDOM-RULE/2.Hull/H-17_DOUBLE%20BOTTOM%20CONST.pdf" TargetMode="External"/><Relationship Id="rId139" Type="http://schemas.openxmlformats.org/officeDocument/2006/relationships/hyperlink" Target="../MANUALS/2.%20IRENES%20WISDOM/4.%20IRENES%20WISDOM-RULE/4.Accommodation/A-34_STANDARD%20PRACTICE(WALL_CEILING_LINING)%20IN%20ACCOM.pdf" TargetMode="External"/><Relationship Id="rId346" Type="http://schemas.openxmlformats.org/officeDocument/2006/relationships/hyperlink" Target="../MANUALS/2.%20IRENES%20WISDOM/4.%20IRENES%20WISDOM-RULE/6.Machinery/M-64_DOCUMENTATION%20FOR%20ENVIRONMENTAL%20CLASS%20NOTATION/4193_9A000M110_CLEAN%20NOTATION_R1(ABS)_135907660_135920376.pdf" TargetMode="External"/><Relationship Id="rId553" Type="http://schemas.openxmlformats.org/officeDocument/2006/relationships/hyperlink" Target="https://dasoulutions.sharepoint.com/:x:/s/ANCHOOREDDATASOLUTIONS/IQD_yl_dukMdQ5ey4J8f7Ay1ARZnvVMtNRmRg7Q6U_8t5Sw?e=Q0f5ho" TargetMode="External"/><Relationship Id="rId192" Type="http://schemas.openxmlformats.org/officeDocument/2006/relationships/hyperlink" Target="../MANUALS/2.%20IRENES%20WISDOM/4.%20IRENES%20WISDOM-RULE/6.Machinery/M-1_MACHINERY%20ARRG%27T%20IN%20E_ROOM.pdf" TargetMode="External"/><Relationship Id="rId206" Type="http://schemas.openxmlformats.org/officeDocument/2006/relationships/hyperlink" Target="../MANUALS/2.%20IRENES%20WISDOM/4.%20IRENES%20WISDOM-RULE/6.Machinery/M-22_OPERATION%20ON%20DISTILLATE%20FUEL(M.G.O).pdf" TargetMode="External"/><Relationship Id="rId413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81%20INSTRUCTIOIN%20MANUAL%20FOR%20MAIN%20%26%20EM%27CY%20SWITCHBOARD%20%26%20STARTER&amp;View=%7BB2C268B8%2DAED3%2D4876%2D837F%2DD0E595242160%7D" TargetMode="External"/><Relationship Id="rId497" Type="http://schemas.openxmlformats.org/officeDocument/2006/relationships/hyperlink" Target="../MANUALS/2.%20IRENES%20WISDOM/4.%20IRENES%20WISDOM-RULE/7.Electric/E-81%20INSTRUCTIOIN%20MANUAL%20FOR%20MAIN%20%26%20EM%27CY%20SWITCHBOARD%20%26%20STARTER/7.REPLACEMENT%20OF%20FDC-CONNECTION%20MCCB%20WITH%20SPARE.pdf" TargetMode="External"/><Relationship Id="rId357" Type="http://schemas.openxmlformats.org/officeDocument/2006/relationships/hyperlink" Target="../MANUALS/2.%20IRENES%20WISDOM/4.%20IRENES%20WISDOM-RULE/7.Electric/E-18_G_A%20OF%20ELEC.%20EQUIP.%20ON%20DECK.pdf" TargetMode="External"/><Relationship Id="rId54" Type="http://schemas.openxmlformats.org/officeDocument/2006/relationships/hyperlink" Target="../MANUALS/2.%20IRENES%20WISDOM/4.%20IRENES%20WISDOM-RULE/2.Hull/H-27_CATHODIC%20PROTECTION%20FOR%20W.B%20TANK.pdf" TargetMode="External"/><Relationship Id="rId217" Type="http://schemas.openxmlformats.org/officeDocument/2006/relationships/hyperlink" Target="../MANUALS/2.%20IRENES%20WISDOM/4.%20IRENES%20WISDOM-RULE/6.Machinery/M-33%20LOCAL%20FIRE%20EXTINGUISHING%20SYSTEM.pdf" TargetMode="External"/><Relationship Id="rId564" Type="http://schemas.openxmlformats.org/officeDocument/2006/relationships/hyperlink" Target="https://dasoulutions.sharepoint.com/:x:/s/ANCHOOREDDATASOLUTIONS/IQAlDXyRbKJORri8S322igReAdVP-v3yD9bri_wf_PjTXYw?e=hmDhve" TargetMode="External"/><Relationship Id="rId424" Type="http://schemas.openxmlformats.org/officeDocument/2006/relationships/hyperlink" Target="../MANUALS/2.%20IRENES%20WISDOM/4.%20IRENES%20WISDOM-RULE/7.Electric/E-33,34,35,36,39,40,44,45,62,63%20JRC/2DJ-3533_ECDIS_7ZPNA4461E_V6_Chart%20Instll%20190930.pdf" TargetMode="External"/><Relationship Id="rId270" Type="http://schemas.openxmlformats.org/officeDocument/2006/relationships/hyperlink" Target="../MANUALS/2.%20IRENES%20WISDOM/4.%20IRENES%20WISDOM-RULE/6.Machinery/M-34%20MAIN%20ENGINE/1/Start.pdf" TargetMode="External"/><Relationship Id="rId65" Type="http://schemas.openxmlformats.org/officeDocument/2006/relationships/hyperlink" Target="../MANUALS/2.%20IRENES%20WISDOM/4.%20IRENES%20WISDOM-RULE/3.Hull%20Outfitting/F-11_ARRG%27T%20OF%20RESCUE%20BOAT%20%26%20LIFE%20RAFT%20HANDLING.pdf" TargetMode="External"/><Relationship Id="rId130" Type="http://schemas.openxmlformats.org/officeDocument/2006/relationships/hyperlink" Target="../MANUALS/2.%20IRENES%20WISDOM/4.%20IRENES%20WISDOM-RULE/4.Accommodation/A-26%20UNIT%20TOILET.PDF" TargetMode="External"/><Relationship Id="rId368" Type="http://schemas.openxmlformats.org/officeDocument/2006/relationships/hyperlink" Target="../MANUALS/2.%20IRENES%20WISDOM/4.%20IRENES%20WISDOM-RULE/7.Electric/E-28_SPARE%20PART(ELEC.%20PART).pdf" TargetMode="External"/><Relationship Id="rId575" Type="http://schemas.openxmlformats.org/officeDocument/2006/relationships/hyperlink" Target="https://dasoulutions.sharepoint.com/:x:/r/sites/ANCHOOREDDATASOLUTIONS/_layouts/15/Doc.aspx?sourcedoc=%7BFDA2C439-FAB8-4DC1-A23D-33E2C9332F1E%7D&amp;file=SARANYA_3-2.%20AVR%20(D350).pdf.xlsx&amp;action=default&amp;mobileredirect=true" TargetMode="External"/><Relationship Id="rId228" Type="http://schemas.openxmlformats.org/officeDocument/2006/relationships/hyperlink" Target="../MANUALS/2.%20IRENES%20WISDOM/4.%20IRENES%20WISDOM-RULE/6.Machinery/M-43%20ENERGY%20SAVING%20SYSTEM%20FOR%20MAIN%20C.S.W.%20PUMPS.pdf" TargetMode="External"/><Relationship Id="rId435" Type="http://schemas.openxmlformats.org/officeDocument/2006/relationships/hyperlink" Target="../MANUALS/2.%20IRENES%20WISDOM/4.%20IRENES%20WISDOM-RULE/7.Electric/E-33,34,35,36,39,40,44,45,62,63%20JRC/2DJ-3533_INM-C_JUE-87SSAS(E)7ZPSC0450(V3)%20INSTRUCTION%20MANUAL%20160510.pdf" TargetMode="External"/><Relationship Id="rId281" Type="http://schemas.openxmlformats.org/officeDocument/2006/relationships/hyperlink" Target="../MANUALS/2.%20IRENES%20WISDOM/4.%20IRENES%20WISDOM-RULE/6.Machinery/M-36%20HYD.%20COUPLING%20BOLTNUT/14714.pdf" TargetMode="External"/><Relationship Id="rId502" Type="http://schemas.openxmlformats.org/officeDocument/2006/relationships/hyperlink" Target="https://dasoulutions.sharepoint.com/:b:/s/ANCHOOREDDATASOLUTIONS/IQCtHmwq92vCQLF4xqngcXTuAaN7a00-dwibPwuaOxWCw50?e=zX9EbT" TargetMode="External"/><Relationship Id="rId76" Type="http://schemas.openxmlformats.org/officeDocument/2006/relationships/hyperlink" Target="../MANUALS/2.%20IRENES%20WISDOM/4.%20IRENES%20WISDOM-RULE/3.Hull%20Outfitting/F-21_STANDARD%20OF%20HULL%20OUTFITTINGS(ACCESS_TRAFFIC_VENT).pdf" TargetMode="External"/><Relationship Id="rId141" Type="http://schemas.openxmlformats.org/officeDocument/2006/relationships/hyperlink" Target="../MANUALS/2.%20IRENES%20WISDOM/4.%20IRENES%20WISDOM-RULE/4.Accommodation/A-36_STANDARD%20PRACTICE(INSUL._DK%20COVER%27G)%20IN%20ACCOM.pdf" TargetMode="External"/><Relationship Id="rId37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43%20INTEGRATED%20SMART%20SHIP%20SOLUTION%28HYUNDAL%20ISS%29&amp;View=%7BB2C268B8%2DAED3%2D4876%2D837F%2DD0E595242160%7D" TargetMode="External"/><Relationship Id="rId586" Type="http://schemas.microsoft.com/office/2017/10/relationships/threadedComment" Target="../threadedComments/threadedComment1.xml"/><Relationship Id="rId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4%2EAccommodation&amp;View=%7BB2C268B8%2DAED3%2D4876%2D837F%2DD0E595242160%7D" TargetMode="External"/><Relationship Id="rId239" Type="http://schemas.openxmlformats.org/officeDocument/2006/relationships/hyperlink" Target="../MANUALS/2.%20IRENES%20WISDOM/4.%20IRENES%20WISDOM-RULE/6.Machinery/M-54%20F.W.%20SUPPLY%20UNIT.pdf" TargetMode="External"/><Relationship Id="rId446" Type="http://schemas.openxmlformats.org/officeDocument/2006/relationships/hyperlink" Target="../MANUALS/2.%20IRENES%20WISDOM/4.%20IRENES%20WISDOM-RULE/7.Electric/E-33,34,35,36,39,40,44,45,62,63%20JRC/2DJ-3533_TWO-WAY%20VHF_JHS-207(E)7ZPJD0793(V1)%20INSTRUCTION%20200731.pdf" TargetMode="External"/><Relationship Id="rId250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64%5FDOCUMENTATION%20FOR%20ENVIRONMENTAL%20CLASS%20NOTATION&amp;View=%7BB2C268B8%2DAED3%2D4876%2D837F%2DD0E595242160%7D" TargetMode="External"/><Relationship Id="rId292" Type="http://schemas.openxmlformats.org/officeDocument/2006/relationships/hyperlink" Target="../MANUALS/2.%20IRENES%20WISDOM/4.%20IRENES%20WISDOM-RULE/6.Machinery/M-40%20SHAFT%20EARTHING%20DEVICE/sed/AcroReader51_ENU.exe" TargetMode="External"/><Relationship Id="rId306" Type="http://schemas.openxmlformats.org/officeDocument/2006/relationships/hyperlink" Target="../MANUALS/2.%20IRENES%20WISDOM/4.%20IRENES%20WISDOM-RULE/6.Machinery/M-42%20F.O%20SUPPLY%20UNIT%20FOR%20ME%20%26%20GE/Final%20Drawing%20for%204193%20F.O%20Supply%20Unit%20for%20ME%20%26%20GE_220926.pdf" TargetMode="External"/><Relationship Id="rId488" Type="http://schemas.openxmlformats.org/officeDocument/2006/relationships/hyperlink" Target="../MANUALS/2.%20IRENES%20WISDOM/4.%20IRENES%20WISDOM-RULE/7.Electric/E-81%20INSTRUCTIOIN%20MANUAL%20FOR%20MAIN%20%26%20EM%27CY%20SWITCHBOARD%20%26%20STARTER/11.TIMER.pdf" TargetMode="External"/><Relationship Id="rId45" Type="http://schemas.openxmlformats.org/officeDocument/2006/relationships/hyperlink" Target="../MANUALS/2.%20IRENES%20WISDOM/4.%20IRENES%20WISDOM-RULE/2.Hull/H-19_CARGO%20HOLD%20TRANS.%20BULKHEAD%20CONST.pdf" TargetMode="External"/><Relationship Id="rId87" Type="http://schemas.openxmlformats.org/officeDocument/2006/relationships/hyperlink" Target="../MANUALS/2.%20IRENES%20WISDOM/4.%20IRENES%20WISDOM-RULE/3.Hull%20Outfitting/F-32%20MONORAIL%20HOIST%20CRANE.pdf" TargetMode="External"/><Relationship Id="rId110" Type="http://schemas.openxmlformats.org/officeDocument/2006/relationships/hyperlink" Target="../MANUALS/2.%20IRENES%20WISDOM/4.%20IRENES%20WISDOM-RULE/3.Hull%20Outfitting/F-42%20VENTILATION%20FAN/220926_hmd04193fh_final%20dwg.pdf" TargetMode="External"/><Relationship Id="rId348" Type="http://schemas.openxmlformats.org/officeDocument/2006/relationships/hyperlink" Target="../MANUALS/2.%20IRENES%20WISDOM/4.%20IRENES%20WISDOM-RULE/7.Electric/E-1_WIRING%20DIAGRAM%20OF%20POWER%20SYS.pdf" TargetMode="External"/><Relationship Id="rId513" Type="http://schemas.openxmlformats.org/officeDocument/2006/relationships/hyperlink" Target="https://dasoulutions.sharepoint.com/:b:/s/ANCHOOREDDATASOLUTIONS/IQCtHmwq92vCQLF4xqngcXTuAaN7a00-dwibPwuaOxWCw50?e=zX9EbT" TargetMode="External"/><Relationship Id="rId555" Type="http://schemas.openxmlformats.org/officeDocument/2006/relationships/hyperlink" Target="https://dasoulutions.sharepoint.com/:x:/s/ANCHOOREDDATASOLUTIONS/IQB8yAb2uq3QTZVyjF-Nj2i1AefTNNeGwf0COyl3ZSPVcoc?e=POzjBy" TargetMode="External"/><Relationship Id="rId152" Type="http://schemas.openxmlformats.org/officeDocument/2006/relationships/hyperlink" Target="../MANUALS/2.%20IRENES%20WISDOM/4.%20IRENES%20WISDOM-RULE/4.Accommodation/A-1_ACCOMMODATION%20PLAN/A-1-2_ACCOMMODATION%20PLAN%20ON%20A%20DECK.pdf" TargetMode="External"/><Relationship Id="rId194" Type="http://schemas.openxmlformats.org/officeDocument/2006/relationships/hyperlink" Target="../MANUALS/2.%20IRENES%20WISDOM/4.%20IRENES%20WISDOM-RULE/6.Machinery/M-11_ARRG%27T%20OF%20LIFTING%20BEAM%20IN%20E_ROOM.pdf" TargetMode="External"/><Relationship Id="rId208" Type="http://schemas.openxmlformats.org/officeDocument/2006/relationships/hyperlink" Target="../MANUALS/2.%20IRENES%20WISDOM/4.%20IRENES%20WISDOM-RULE/6.Machinery/M-24_INVENTORY%20LIST%20IN%20E_ROOM.pdf" TargetMode="External"/><Relationship Id="rId415" Type="http://schemas.openxmlformats.org/officeDocument/2006/relationships/hyperlink" Target="../MANUALS/2.%20IRENES%20WISDOM/4.%20IRENES%20WISDOM-RULE/7.Electric/E-31%20MAGNETIC%20COMPASS/HMD%20H4193%20MC%20%5bF%5d.pdf" TargetMode="External"/><Relationship Id="rId457" Type="http://schemas.openxmlformats.org/officeDocument/2006/relationships/hyperlink" Target="../MANUALS/2.%20IRENES%20WISDOM/4.%20IRENES%20WISDOM-RULE/7.Electric/E-53,58%20ER%20ALARM%20%26%20MONITORING%20SYS/Manuals/K-Chief%20600%20Operator%20Manual,%20Alarm%20and%20Monitoring%20System_338857i.pdf" TargetMode="External"/><Relationship Id="rId261" Type="http://schemas.openxmlformats.org/officeDocument/2006/relationships/hyperlink" Target="../MANUALS/2.%20IRENES%20WISDOM/4.%20IRENES%20WISDOM-RULE/6.Machinery/M-29,30%20PRESSURE%20CONTROL%20VALVE/MANUAL/SN01,02,03%20Y%20Strainer%20Manual%202.pdf" TargetMode="External"/><Relationship Id="rId499" Type="http://schemas.openxmlformats.org/officeDocument/2006/relationships/hyperlink" Target="../MANUALS/2.%20IRENES%20WISDOM/4.%20IRENES%20WISDOM-RULE/7.Electric/E-81%20INSTRUCTIOIN%20MANUAL%20FOR%20MAIN%20%26%20EM%27CY%20SWITCHBOARD%20%26%20STARTER/9.MAGNETIC%20CONTACTOR%20%26%20THERMAL%20OCR.pdf" TargetMode="External"/><Relationship Id="rId14" Type="http://schemas.openxmlformats.org/officeDocument/2006/relationships/hyperlink" Target="../MANUALS/2.%20IRENES%20WISDOM/4.%20IRENES%20WISDOM-RULE/1.Basic/B-11_DAMAGE%20CONTROL%20BOOKLET.pdf" TargetMode="External"/><Relationship Id="rId56" Type="http://schemas.openxmlformats.org/officeDocument/2006/relationships/hyperlink" Target="../MANUALS/2.%20IRENES%20WISDOM/4.%20IRENES%20WISDOM-RULE/2.Hull/H-4_TANK%20TEST%20PLAN.pdf" TargetMode="External"/><Relationship Id="rId317" Type="http://schemas.openxmlformats.org/officeDocument/2006/relationships/hyperlink" Target="../MANUALS/2.%20IRENES%20WISDOM/4.%20IRENES%20WISDOM-RULE/6.Machinery/M-44,45%20ER%20CENTRIFUGAL%20PUMP/INSTRUCTION%20MANUAL%20(three%20rotor%20screw%20pumps%20_MST)%20.pdf" TargetMode="External"/><Relationship Id="rId359" Type="http://schemas.openxmlformats.org/officeDocument/2006/relationships/hyperlink" Target="../MANUALS/2.%20IRENES%20WISDOM/4.%20IRENES%20WISDOM-RULE/7.Electric/E-2_WIRING%20DIAGRAM%20OF%20LIGHTING%20SYS.%20EXCEPT%20E_ROOM.pdf" TargetMode="External"/><Relationship Id="rId524" Type="http://schemas.openxmlformats.org/officeDocument/2006/relationships/hyperlink" Target="https://dasoulutions.sharepoint.com/:x:/s/ANCHOOREDDATASOLUTIONS/IQBBNwltKbN_Q4K9elD2FGVJAWJ8Xujzy-MgPpknaEp_aNs?e=7AVxNE" TargetMode="External"/><Relationship Id="rId566" Type="http://schemas.openxmlformats.org/officeDocument/2006/relationships/hyperlink" Target="https://dasoulutions.sharepoint.com/:x:/s/ANCHOOREDDATASOLUTIONS/IQCi8YTtQo8BRrS7Jqst9at_AUAM7cKeidTBhW8EPnIEFpA?e=HA2XC2" TargetMode="External"/><Relationship Id="rId9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3%2EHull%20Outfitting%2FF%2D42%20VENTILATION%20FAN&amp;View=%7BB2C268B8%2DAED3%2D4876%2D837F%2DD0E595242160%7D" TargetMode="External"/><Relationship Id="rId121" Type="http://schemas.openxmlformats.org/officeDocument/2006/relationships/hyperlink" Target="../MANUALS/2.%20IRENES%20WISDOM/4.%20IRENES%20WISDOM-RULE/4.Accommodation/A-18_ARRG%27T%20OF%20FIRE%20CONTROL%20STATION.pdf" TargetMode="External"/><Relationship Id="rId163" Type="http://schemas.openxmlformats.org/officeDocument/2006/relationships/hyperlink" Target="../MANUALS/2.%20IRENES%20WISDOM/4.%20IRENES%20WISDOM-RULE/5.Hull%20Piping/P-13_STANDARD%20PRACTICE%20OF%20HULL%20PIPING.pdf" TargetMode="External"/><Relationship Id="rId219" Type="http://schemas.openxmlformats.org/officeDocument/2006/relationships/hyperlink" Target="../MANUALS/2.%20IRENES%20WISDOM/4.%20IRENES%20WISDOM-RULE/6.Machinery/M-35%20HYD.%20TOP%20BRACING.pdf" TargetMode="External"/><Relationship Id="rId370" Type="http://schemas.openxmlformats.org/officeDocument/2006/relationships/hyperlink" Target="../MANUALS/2.%20IRENES%20WISDOM/4.%20IRENES%20WISDOM-RULE/7.Electric/E-3_CONNECTION%20DIAGRAM%20OF%20POWER%20SYS.pdf" TargetMode="External"/><Relationship Id="rId426" Type="http://schemas.openxmlformats.org/officeDocument/2006/relationships/hyperlink" Target="../MANUALS/2.%20IRENES%20WISDOM/4.%20IRENES%20WISDOM-RULE/7.Electric/E-33,34,35,36,39,40,44,45,62,63%20JRC/2DJ-3533_ECDIS_JAN-7200_9200s(E)7ZPNA4739(V1)%20Transfering%20Track%20manual.pdf" TargetMode="External"/><Relationship Id="rId230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6%20PURIFIER&amp;View=%7BB2C268B8%2DAED3%2D4876%2D837F%2DD0E595242160%7D" TargetMode="External"/><Relationship Id="rId46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8%20EM%27CY%20DIESEL%20GENERATOR%20SET%2F3%2E%20Alternator&amp;View=%7BB2C268B8%2DAED3%2D4876%2D837F%2DD0E595242160%7D" TargetMode="External"/><Relationship Id="rId25" Type="http://schemas.openxmlformats.org/officeDocument/2006/relationships/hyperlink" Target="../MANUALS/2.%20IRENES%20WISDOM/4.%20IRENES%20WISDOM-RULE/1.Basic/B-21_INVENTORY%20OF%20HAZARDOUS%20MATERIALS%20(IHM).pdf" TargetMode="External"/><Relationship Id="rId67" Type="http://schemas.openxmlformats.org/officeDocument/2006/relationships/hyperlink" Target="../MANUALS/2.%20IRENES%20WISDOM/4.%20IRENES%20WISDOM-RULE/3.Hull%20Outfitting/F-13_ARRG%27T%20OF%20HULL-OUTFITTINGS%20ON%20UPPER%20DECK.pdf" TargetMode="External"/><Relationship Id="rId272" Type="http://schemas.openxmlformats.org/officeDocument/2006/relationships/hyperlink" Target="../MANUALS/2.%20IRENES%20WISDOM/4.%20IRENES%20WISDOM-RULE/6.Machinery/M-34%20MAIN%20ENGINE/1/MANUAL/FINAL%20DRAWINGS.PDF" TargetMode="External"/><Relationship Id="rId328" Type="http://schemas.openxmlformats.org/officeDocument/2006/relationships/hyperlink" Target="../MANUALS/2.%20IRENES%20WISDOM/4.%20IRENES%20WISDOM-RULE/6.Machinery/M-47%20OILY%20BILGE%20SEPARATOR/2.%20HMD%204193%20CERT%20(OBS).pdf" TargetMode="External"/><Relationship Id="rId535" Type="http://schemas.openxmlformats.org/officeDocument/2006/relationships/hyperlink" Target="https://dasoulutions.sharepoint.com/:x:/s/ANCHOOREDDATASOLUTIONS/IQD7OQf9k9kbTaojwRDwVbpeAZkoyLY1pYf-Xn2II3m6qtE?e=j4d6sX" TargetMode="External"/><Relationship Id="rId577" Type="http://schemas.openxmlformats.org/officeDocument/2006/relationships/hyperlink" Target="https://dasoulutions.sharepoint.com/:x:/r/sites/ANCHOOREDDATASOLUTIONS/_layouts/15/Doc.aspx?sourcedoc=%7BBC08589A-84C8-4D5B-8DBC-D0606BF41506%7D&amp;file=SARANYA_5-3.%20Control%20Panel%20Parts%20List.pdf.xlsx&amp;action=default&amp;mobileredirect=true" TargetMode="External"/><Relationship Id="rId132" Type="http://schemas.openxmlformats.org/officeDocument/2006/relationships/hyperlink" Target="../MANUALS/2.%20IRENES%20WISDOM/4.%20IRENES%20WISDOM-RULE/4.Accommodation/A-28%20PROVISION%20REFRIGERATING%20PLANT.pdf" TargetMode="External"/><Relationship Id="rId174" Type="http://schemas.openxmlformats.org/officeDocument/2006/relationships/hyperlink" Target="../MANUALS/2.%20IRENES%20WISDOM/4.%20IRENES%20WISDOM-RULE/5.Hull%20Piping/P-23_VALVE%20LIST%20FOR%20HULL%20PIPING.pdf" TargetMode="External"/><Relationship Id="rId381" Type="http://schemas.openxmlformats.org/officeDocument/2006/relationships/hyperlink" Target="../MANUALS/2.%20IRENES%20WISDOM/4.%20IRENES%20WISDOM-RULE/7.Electric/E-47%20MISCELLANEOUS%20ALARM%20SYS.pdf" TargetMode="External"/><Relationship Id="rId241" Type="http://schemas.openxmlformats.org/officeDocument/2006/relationships/hyperlink" Target="../MANUALS/2.%20IRENES%20WISDOM/4.%20IRENES%20WISDOM-RULE/6.Machinery/M-56%20S%20%26%20%20T%20TYPE%20HEAT%20EXCHANGER.pdf" TargetMode="External"/><Relationship Id="rId437" Type="http://schemas.openxmlformats.org/officeDocument/2006/relationships/hyperlink" Target="../MANUALS/2.%20IRENES%20WISDOM/4.%20IRENES%20WISDOM-RULE/7.Electric/E-33,34,35,36,39,40,44,45,62,63%20JRC/2DJ-3533_MFHF_JSS-2150_2250_2500(E)7ZPJD0805(V1)%20INSTR%20211105.pdf" TargetMode="External"/><Relationship Id="rId479" Type="http://schemas.openxmlformats.org/officeDocument/2006/relationships/hyperlink" Target="../MANUALS/2.%20IRENES%20WISDOM/4.%20IRENES%20WISDOM-RULE/7.Electric/E-78%20EM%27CY%20DIESEL%20GENERATOR%20SET/4.%202nd%20Starter/4.%20Spring%20Starter.pdf" TargetMode="External"/><Relationship Id="rId36" Type="http://schemas.openxmlformats.org/officeDocument/2006/relationships/hyperlink" Target="../MANUALS/2.%20IRENES%20WISDOM/4.%20IRENES%20WISDOM-RULE/2.Hull/H-10_STUFFING%20BOX%20FOR%20RUDDER%20STOCK.pdf" TargetMode="External"/><Relationship Id="rId283" Type="http://schemas.openxmlformats.org/officeDocument/2006/relationships/hyperlink" Target="../MANUALS/2.%20IRENES%20WISDOM/4.%20IRENES%20WISDOM-RULE/6.Machinery/M-36%20HYD.%20COUPLING%20BOLTNUT/80342E.pdf" TargetMode="External"/><Relationship Id="rId33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53%20M%2EG%2EP%2ES%2FMGPS&amp;View=%7BB2C268B8%2DAED3%2D4876%2D837F%2DD0E595242160%7D" TargetMode="External"/><Relationship Id="rId490" Type="http://schemas.openxmlformats.org/officeDocument/2006/relationships/hyperlink" Target="../MANUALS/2.%20IRENES%20WISDOM/4.%20IRENES%20WISDOM-RULE/7.Electric/E-81%20INSTRUCTIOIN%20MANUAL%20FOR%20MAIN%20%26%20EM%27CY%20SWITCHBOARD%20%26%20STARTER/2.AIR%20CIRCUIT%20BREAKER.pdf" TargetMode="External"/><Relationship Id="rId504" Type="http://schemas.openxmlformats.org/officeDocument/2006/relationships/hyperlink" Target="../MANUALS/2.%20IRENES%20WISDOM/4.%20IRENES%20WISDOM-RULE/5.Hull%20Piping/P-18%20EMERGENCY%20FIRE%20PUMP/H4193%20FINISHED%20DWG_EMERGENCY%20FIRE%20PUMP(220914).pdf" TargetMode="External"/><Relationship Id="rId546" Type="http://schemas.openxmlformats.org/officeDocument/2006/relationships/hyperlink" Target="https://dasoulutions.sharepoint.com/:x:/s/ANCHOOREDDATASOLUTIONS/IQDgtGNXqju7S7K-cSgtTXoWAcc5P7SVj5HJ47tvBkO5yvQ?e=KKglWH" TargetMode="External"/><Relationship Id="rId78" Type="http://schemas.openxmlformats.org/officeDocument/2006/relationships/hyperlink" Target="../MANUALS/2.%20IRENES%20WISDOM/4.%20IRENES%20WISDOM-RULE/3.Hull%20Outfitting/F-23_INVENTORY%20LIST(OUTFITTING%20PART).pdf" TargetMode="External"/><Relationship Id="rId101" Type="http://schemas.openxmlformats.org/officeDocument/2006/relationships/hyperlink" Target="../MANUALS/2.%20IRENES%20WISDOM/4.%20IRENES%20WISDOM-RULE/3.Hull%20Outfitting/F-7_CARGO%20SAFE%20ACCESS%20PLAN.pdf" TargetMode="External"/><Relationship Id="rId143" Type="http://schemas.openxmlformats.org/officeDocument/2006/relationships/hyperlink" Target="../MANUALS/2.%20IRENES%20WISDOM/4.%20IRENES%20WISDOM-RULE/4.Accommodation/A-38_INVENTORY%20LIST(ACCOM.%20PART).pdf" TargetMode="External"/><Relationship Id="rId185" Type="http://schemas.openxmlformats.org/officeDocument/2006/relationships/hyperlink" Target="../MANUALS/2.%20IRENES%20WISDOM/4.%20IRENES%20WISDOM-RULE/5.Hull%20Piping/P-18%20EMERGENCY%20FIRE%20PUMP/H4193%20INSPECTION%20REPORT_EMERGENCY%20FIRE%20PUMP.PDF" TargetMode="External"/><Relationship Id="rId350" Type="http://schemas.openxmlformats.org/officeDocument/2006/relationships/hyperlink" Target="../MANUALS/2.%20IRENES%20WISDOM/4.%20IRENES%20WISDOM-RULE/7.Electric/E-11_WIRING%20DIAGRAM%20OF%20LIGHTING%20SYS.%20IN%20E_ROOM.pdf" TargetMode="External"/><Relationship Id="rId40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5%20ELEC%2E%20EQUIP%2E%20FOR%20REEFER%20MONITORING%20SYSTEM&amp;View=%7BB2C268B8%2DAED3%2D4876%2D837F%2DD0E595242160%7D" TargetMode="External"/><Relationship Id="rId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5%2EHull%20Piping&amp;View=%7BB2C268B8%2DAED3%2D4876%2D837F%2DD0E595242160%7D" TargetMode="External"/><Relationship Id="rId210" Type="http://schemas.openxmlformats.org/officeDocument/2006/relationships/hyperlink" Target="../MANUALS/2.%20IRENES%20WISDOM/4.%20IRENES%20WISDOM-RULE/6.Machinery/M-26_LUB.%20OIL%20CHART.pdf" TargetMode="External"/><Relationship Id="rId392" Type="http://schemas.openxmlformats.org/officeDocument/2006/relationships/hyperlink" Target="../MANUALS/2.%20IRENES%20WISDOM/4.%20IRENES%20WISDOM-RULE/7.Electric/E-6_CONNECTION%20DIAGRAM%20FOR%20COMMUNI.%20%26%20NAV.%20EQUIP.pdf" TargetMode="External"/><Relationship Id="rId448" Type="http://schemas.openxmlformats.org/officeDocument/2006/relationships/hyperlink" Target="../MANUALS/2.%20IRENES%20WISDOM/4.%20IRENES%20WISDOM-RULE/7.Electric/E-33,34,35,36,39,40,44,45,62,63%20JRC/2DJ-3533_VHF_JHS-800S(E)7ZPJD0714B(V3)%20INSTRUCTION%20210914.pdf" TargetMode="External"/><Relationship Id="rId252" Type="http://schemas.openxmlformats.org/officeDocument/2006/relationships/hyperlink" Target="../MANUALS/2.%20IRENES%20WISDOM/4.%20IRENES%20WISDOM-RULE/6.Machinery/M-8_ARRG%27T%20%26%20DET.%20OF%20CHOCK%20LINER%20FOR%20GENERATOR%20ENGINE.pdf" TargetMode="External"/><Relationship Id="rId294" Type="http://schemas.openxmlformats.org/officeDocument/2006/relationships/hyperlink" Target="../MANUALS/2.%20IRENES%20WISDOM/4.%20IRENES%20WISDOM-RULE/6.Machinery/M-40%20SHAFT%20EARTHING%20DEVICE/sed/SED%20MANUAL.pdf" TargetMode="External"/><Relationship Id="rId308" Type="http://schemas.openxmlformats.org/officeDocument/2006/relationships/hyperlink" Target="../MANUALS/2.%20IRENES%20WISDOM/4.%20IRENES%20WISDOM-RULE/6.Machinery/M-44,45%20ER%20CENTRIFUGAL%20PUMP/H4193%20FINISHED%20DWG(220914).pdf" TargetMode="External"/><Relationship Id="rId515" Type="http://schemas.openxmlformats.org/officeDocument/2006/relationships/hyperlink" Target="https://dasoulutions.sharepoint.com/:x:/s/ANCHOOREDDATASOLUTIONS/IQD4aTMEzwzPS7aTaVU05wTbAezW1cuDOREmt5uGx8UPISI?e=nReDQ9" TargetMode="External"/><Relationship Id="rId47" Type="http://schemas.openxmlformats.org/officeDocument/2006/relationships/hyperlink" Target="../MANUALS/2.%20IRENES%20WISDOM/4.%20IRENES%20WISDOM-RULE/2.Hull/H-20_CELL%20GUIDE%20CONST.pdf" TargetMode="External"/><Relationship Id="rId89" Type="http://schemas.openxmlformats.org/officeDocument/2006/relationships/hyperlink" Target="../MANUALS/2.%20IRENES%20WISDOM/4.%20IRENES%20WISDOM-RULE/3.Hull%20Outfitting/F-34%20ACCOMMODATION%20LADDER.pdf" TargetMode="External"/><Relationship Id="rId112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4%2EAccommodation%2FA%2D1%5FACCOMMODATION%20PLAN&amp;View=%7BB2C268B8%2DAED3%2D4876%2D837F%2DD0E595242160%7D" TargetMode="External"/><Relationship Id="rId154" Type="http://schemas.openxmlformats.org/officeDocument/2006/relationships/hyperlink" Target="../MANUALS/2.%20IRENES%20WISDOM/4.%20IRENES%20WISDOM-RULE/4.Accommodation/A-1_ACCOMMODATION%20PLAN/A-1-4_ACCOMMODATION%20PLAN%20ON%20C%20DECK.pdf" TargetMode="External"/><Relationship Id="rId361" Type="http://schemas.openxmlformats.org/officeDocument/2006/relationships/hyperlink" Target="../MANUALS/2.%20IRENES%20WISDOM/4.%20IRENES%20WISDOM-RULE/7.Electric/E-21_ARRG%27T%20OF%20WHEEL%20HOUSE%20%26%20CHART%20SPACE.pdf" TargetMode="External"/><Relationship Id="rId557" Type="http://schemas.openxmlformats.org/officeDocument/2006/relationships/hyperlink" Target="https://dasoulutions.sharepoint.com/:x:/s/ANCHOOREDDATASOLUTIONS/IQD_I9M54CWdS50ZHLKBur4oARqSVVZcgdgSO7_xupylSdY?e=3DjQ2b" TargetMode="External"/><Relationship Id="rId196" Type="http://schemas.openxmlformats.org/officeDocument/2006/relationships/hyperlink" Target="../MANUALS/2.%20IRENES%20WISDOM/4.%20IRENES%20WISDOM-RULE/6.Machinery/M-13_INDEPENDENT%20TANK%20IN%20E_ROOM.pdf" TargetMode="External"/><Relationship Id="rId417" Type="http://schemas.openxmlformats.org/officeDocument/2006/relationships/hyperlink" Target="../MANUALS/2.%20IRENES%20WISDOM/4.%20IRENES%20WISDOM-RULE/7.Electric/E-32%20AUTO%20PILOT%20%26%20GYRO%20COMPASS/IM-CMZ900D-E_17th.pdf" TargetMode="External"/><Relationship Id="rId459" Type="http://schemas.openxmlformats.org/officeDocument/2006/relationships/hyperlink" Target="../MANUALS/2.%20IRENES%20WISDOM/4.%20IRENES%20WISDOM-RULE/7.Electric/E-54%20BRIDGE%20CONTROL%20CONSOLE/221004%20HMD%204193%20BCC%20C%2001%20(FINAL).pdf" TargetMode="External"/><Relationship Id="rId16" Type="http://schemas.openxmlformats.org/officeDocument/2006/relationships/hyperlink" Target="../MANUALS/2.%20IRENES%20WISDOM/4.%20IRENES%20WISDOM-RULE/1.Basic/B-13_FINAL%20DAMAGE%20STABILITY%20CALCULATION(SOLAS).pdf" TargetMode="External"/><Relationship Id="rId221" Type="http://schemas.openxmlformats.org/officeDocument/2006/relationships/hyperlink" Target="../MANUALS/2.%20IRENES%20WISDOM/4.%20IRENES%20WISDOM-RULE/6.Machinery/M-37%20AUTO-BACK%20FLUSHINGFINE%20FILTER.pdf" TargetMode="External"/><Relationship Id="rId263" Type="http://schemas.openxmlformats.org/officeDocument/2006/relationships/hyperlink" Target="../MANUALS/2.%20IRENES%20WISDOM/4.%20IRENES%20WISDOM-RULE/6.Machinery/M-32%20BALLAST%20WATER%20TREATMENT%20PLANT/(FINAL%20DWG)HMD_4193_94_%20ECS-600Bx1_REV.0_220916.pdf" TargetMode="External"/><Relationship Id="rId319" Type="http://schemas.openxmlformats.org/officeDocument/2006/relationships/hyperlink" Target="../MANUALS/2.%20IRENES%20WISDOM/4.%20IRENES%20WISDOM-RULE/6.Machinery/M-46%20PURIFIER/2.%20instruction%20manual%20for%20control%20unit.pdf" TargetMode="External"/><Relationship Id="rId470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8%20EM%27CY%20DIESEL%20GENERATOR%20SET%2F5%2E%20Elec%2E%20Parts%20for%20GPC&amp;View=%7BB2C268B8%2DAED3%2D4876%2D837F%2DD0E595242160%7D" TargetMode="External"/><Relationship Id="rId526" Type="http://schemas.openxmlformats.org/officeDocument/2006/relationships/hyperlink" Target="https://dasoulutions.sharepoint.com/:x:/s/ANCHOOREDDATASOLUTIONS/IQD0pzAp1gtiQr9bMiBjQmzdAeuXNpmuWhtKeYV3rmJTskA?e=gmLz4x" TargetMode="External"/><Relationship Id="rId58" Type="http://schemas.openxmlformats.org/officeDocument/2006/relationships/hyperlink" Target="../MANUALS/2.%20IRENES%20WISDOM/4.%20IRENES%20WISDOM-RULE/2.Hull/H-6_ARRG%27T%20OF%20MARK%20FOR%20IN-WATER%20SURVEY.pdf" TargetMode="External"/><Relationship Id="rId123" Type="http://schemas.openxmlformats.org/officeDocument/2006/relationships/hyperlink" Target="../MANUALS/2.%20IRENES%20WISDOM/4.%20IRENES%20WISDOM-RULE/4.Accommodation/A-2_PIPING%20DIAGRAM%20IN%20ACCOMMODATION.pdf" TargetMode="External"/><Relationship Id="rId330" Type="http://schemas.openxmlformats.org/officeDocument/2006/relationships/hyperlink" Target="../MANUALS/2.%20IRENES%20WISDOM/4.%20IRENES%20WISDOM-RULE/6.Machinery/M-47%20OILY%20BILGE%20SEPARATOR/4.%2015PPM%20BILGE%20ALARM%20INSTRUCTION%20MANUAL_Rev.7.3%20(ENG).pdf" TargetMode="External"/><Relationship Id="rId568" Type="http://schemas.openxmlformats.org/officeDocument/2006/relationships/hyperlink" Target="https://dasoulutions.sharepoint.com/:x:/s/ANCHOOREDDATASOLUTIONS/IQAW-8b6umdaTIn4y471lV7GARsFO7cFConQVGxtZpKwdv4?e=6z8hlB" TargetMode="External"/><Relationship Id="rId165" Type="http://schemas.openxmlformats.org/officeDocument/2006/relationships/hyperlink" Target="../MANUALS/2.%20IRENES%20WISDOM/4.%20IRENES%20WISDOM-RULE/5.Hull%20Piping/P-15_INVENTORY%20LIST(PIPING%20PART).pdf" TargetMode="External"/><Relationship Id="rId372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31%20MAGNETIC%20COMPASS&amp;View=%7BB2C268B8%2DAED3%2D4876%2D837F%2DD0E595242160%7D" TargetMode="External"/><Relationship Id="rId428" Type="http://schemas.openxmlformats.org/officeDocument/2006/relationships/hyperlink" Target="../MANUALS/2.%20IRENES%20WISDOM/4.%20IRENES%20WISDOM-RULE/7.Electric/E-33,34,35,36,39,40,44,45,62,63%20JRC/2DJ-3533_ECDIS_JAN-7201_9201(E)7ZPNA4450K_V12_INSTR(Function)%20210901.pdf" TargetMode="External"/><Relationship Id="rId232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8%20AIR%20COMPRESSOR&amp;View=%7BB2C268B8%2DAED3%2D4876%2D837F%2DD0E595242160%7D" TargetMode="External"/><Relationship Id="rId274" Type="http://schemas.openxmlformats.org/officeDocument/2006/relationships/hyperlink" Target="../MANUALS/2.%20IRENES%20WISDOM/4.%20IRENES%20WISDOM-RULE/6.Machinery/M-34%20MAIN%20ENGINE/1/MANUAL/SCR%20Operation%20Manual.pdf" TargetMode="External"/><Relationship Id="rId481" Type="http://schemas.openxmlformats.org/officeDocument/2006/relationships/hyperlink" Target="../MANUALS/2.%20IRENES%20WISDOM/4.%20IRENES%20WISDOM-RULE/7.Electric/E-78%20EM%27CY%20DIESEL%20GENERATOR%20SET/5.%20Elec.%20Parts%20for%20GPC/5-2.%20Battery%20Charger%20Manual%20-%20GPC.pdf" TargetMode="External"/><Relationship Id="rId27" Type="http://schemas.openxmlformats.org/officeDocument/2006/relationships/hyperlink" Target="../MANUALS/2.%20IRENES%20WISDOM/4.%20IRENES%20WISDOM-RULE/1.Basic/B-23_DATA%20BOOKLETS%20(MACHINERY%20PARTICULAR%20LIST).pdf" TargetMode="External"/><Relationship Id="rId69" Type="http://schemas.openxmlformats.org/officeDocument/2006/relationships/hyperlink" Target="../MANUALS/2.%20IRENES%20WISDOM/4.%20IRENES%20WISDOM-RULE/3.Hull%20Outfitting/F-15_NON%20SKID%20PAINT%20ARRG%27T%20ON%20DECK.pdf" TargetMode="External"/><Relationship Id="rId134" Type="http://schemas.openxmlformats.org/officeDocument/2006/relationships/hyperlink" Target="../MANUALS/2.%20IRENES%20WISDOM/4.%20IRENES%20WISDOM-RULE/4.Accommodation/A-3_VENTILATION%20DIAGRAM%20IN%20ACCOMMODATION.pdf" TargetMode="External"/><Relationship Id="rId537" Type="http://schemas.openxmlformats.org/officeDocument/2006/relationships/hyperlink" Target="https://dasoulutions.sharepoint.com/:x:/s/ANCHOOREDDATASOLUTIONS/IQCgLsiy3kSATZLE2h2Ps2iQARVF1cPJRVrFXmb6jWEfcRY?e=B7gJzg" TargetMode="External"/><Relationship Id="rId579" Type="http://schemas.openxmlformats.org/officeDocument/2006/relationships/hyperlink" Target="https://dasoulutions.sharepoint.com/:x:/r/sites/ANCHOOREDDATASOLUTIONS/_layouts/15/Doc.aspx?sourcedoc=%7BC2E9BCBA-CE38-41E8-92E1-5182A26AA575%7D&amp;file=KIRTHIKA_B-10_BALLAST%20WATER%20MANAGEMENT%20PLAN.pdf.xlsx&amp;action=default&amp;mobileredirect=true" TargetMode="External"/><Relationship Id="rId80" Type="http://schemas.openxmlformats.org/officeDocument/2006/relationships/hyperlink" Target="../MANUALS/2.%20IRENES%20WISDOM/4.%20IRENES%20WISDOM-RULE/3.Hull%20Outfitting/F-25_TRAINING%20MANUAL.pdf" TargetMode="External"/><Relationship Id="rId176" Type="http://schemas.openxmlformats.org/officeDocument/2006/relationships/hyperlink" Target="../MANUALS/2.%20IRENES%20WISDOM/4.%20IRENES%20WISDOM-RULE/5.Hull%20Piping/P-4_PIPING%20ARR%27T%20OF%20STERN%20%26%20STEERING%20GEAR%20ROOM.pdf" TargetMode="External"/><Relationship Id="rId341" Type="http://schemas.openxmlformats.org/officeDocument/2006/relationships/hyperlink" Target="../MANUALS/2.%20IRENES%20WISDOM/4.%20IRENES%20WISDOM-RULE/6.Machinery/M-53%20M.G.P.S/MGPS/AcroReader51_KOR.exe" TargetMode="External"/><Relationship Id="rId383" Type="http://schemas.openxmlformats.org/officeDocument/2006/relationships/hyperlink" Target="../MANUALS/2.%20IRENES%20WISDOM/4.%20IRENES%20WISDOM-RULE/7.Electric/E-5_WIRING%20DIAGRAM%20FOR%20COMMUNI.%20%26%20NAV.%20EQUIP.pdf" TargetMode="External"/><Relationship Id="rId439" Type="http://schemas.openxmlformats.org/officeDocument/2006/relationships/hyperlink" Target="../MANUALS/2.%20IRENES%20WISDOM/4.%20IRENES%20WISDOM-RULE/7.Electric/E-33,34,35,36,39,40,44,45,62,63%20JRC/2DJ-3533_RADAR_JMR-7200_9200(E)7ZPNA4446J(V12)%20INSTR(BasOp)%20210603.pdf" TargetMode="External"/><Relationship Id="rId201" Type="http://schemas.openxmlformats.org/officeDocument/2006/relationships/hyperlink" Target="../MANUALS/2.%20IRENES%20WISDOM/4.%20IRENES%20WISDOM-RULE/6.Machinery/M-18_CAL.OF%20TORSIONAL%20VIBRATION%20FOR%20M_ENGINE.pdf" TargetMode="External"/><Relationship Id="rId243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58%20DRILLING%20%26%20GRINDING%20MACHINE&amp;View=%7BB2C268B8%2DAED3%2D4876%2D837F%2DD0E595242160%7D" TargetMode="External"/><Relationship Id="rId285" Type="http://schemas.openxmlformats.org/officeDocument/2006/relationships/hyperlink" Target="../MANUALS/2.%20IRENES%20WISDOM/4.%20IRENES%20WISDOM-RULE/6.Machinery/M-39%20STERN%20TUBE%20SEAL%26BEARINGS/4193s_FINISHED%20PLAN%20FOR%20ISB_HMD.pdf" TargetMode="External"/><Relationship Id="rId450" Type="http://schemas.openxmlformats.org/officeDocument/2006/relationships/hyperlink" Target="../MANUALS/2.%20IRENES%20WISDOM/4.%20IRENES%20WISDOM-RULE/7.Electric/E-43%20INTEGRATED%20SMART%20SHIP%20SOLUTION(HYUNDAL%20ISS)/ISS%20OPERATIONAL%20Manual_eng_220118(1.1.3).pdf" TargetMode="External"/><Relationship Id="rId506" Type="http://schemas.openxmlformats.org/officeDocument/2006/relationships/hyperlink" Target="../MANUALS/2.%20IRENES%20WISDOM/4.%20IRENES%20WISDOM-RULE/5.Hull%20Piping/P-18%20EMERGENCY%20FIRE%20PUMP/H4193%20INSPECTION%20REPORT_EMERGENCY%20FIRE%20PUMP.PDF" TargetMode="External"/><Relationship Id="rId38" Type="http://schemas.openxmlformats.org/officeDocument/2006/relationships/hyperlink" Target="../MANUALS/2.%20IRENES%20WISDOM/4.%20IRENES%20WISDOM-RULE/2.Hull/H-12_DOUBLE%20BOTTOM%20CONST.%20IN%20ENGINE%20ROOM.pdf" TargetMode="External"/><Relationship Id="rId103" Type="http://schemas.openxmlformats.org/officeDocument/2006/relationships/hyperlink" Target="../MANUALS/2.%20IRENES%20WISDOM/4.%20IRENES%20WISDOM-RULE/3.Hull%20Outfitting/F-9_ARRG%27T%20OF%20HULL-OUTFITTINGS%20FOR%20AFT.%20DECK.pdf" TargetMode="External"/><Relationship Id="rId310" Type="http://schemas.openxmlformats.org/officeDocument/2006/relationships/hyperlink" Target="../MANUALS/2.%20IRENES%20WISDOM/4.%20IRENES%20WISDOM-RULE/6.Machinery/M-44,45%20ER%20CENTRIFUGAL%20PUMP/H4193%20INSPECTION%20REPORT.PDF" TargetMode="External"/><Relationship Id="rId492" Type="http://schemas.openxmlformats.org/officeDocument/2006/relationships/hyperlink" Target="../MANUALS/2.%20IRENES%20WISDOM/4.%20IRENES%20WISDOM-RULE/7.Electric/E-81%20INSTRUCTIOIN%20MANUAL%20FOR%20MAIN%20%26%20EM%27CY%20SWITCHBOARD%20%26%20STARTER/3-2.MOLDED%20CASE%20CIRCUIT%20BREAKER(HGP).pdf" TargetMode="External"/><Relationship Id="rId548" Type="http://schemas.openxmlformats.org/officeDocument/2006/relationships/hyperlink" Target="https://dasoulutions.sharepoint.com/:x:/s/ANCHOOREDDATASOLUTIONS/IQBdX9ZScdf8QIjqoo2hjiktASs28J_EM_jJ_wlVOYmz0NA?e=9NOLpe" TargetMode="External"/><Relationship Id="rId91" Type="http://schemas.openxmlformats.org/officeDocument/2006/relationships/hyperlink" Target="../MANUALS/2.%20IRENES%20WISDOM/4.%20IRENES%20WISDOM-RULE/3.Hull%20Outfitting/F-36%20LIFE%20BOAT.pdf" TargetMode="External"/><Relationship Id="rId145" Type="http://schemas.openxmlformats.org/officeDocument/2006/relationships/hyperlink" Target="../MANUALS/2.%20IRENES%20WISDOM/4.%20IRENES%20WISDOM-RULE/4.Accommodation/A-4_STRUCTURAL%20FIRE%20PROTECTION%20PLAN.pdf" TargetMode="External"/><Relationship Id="rId187" Type="http://schemas.openxmlformats.org/officeDocument/2006/relationships/hyperlink" Target="../MANUALS/2.%20IRENES%20WISDOM/4.%20IRENES%20WISDOM-RULE/5.Hull%20Piping/P-18%20EMERGENCY%20FIRE%20PUMP/INSTRUCTION%20MANUAL%20(inside%20bearing%20gear%20pumps)%20.pdf" TargetMode="External"/><Relationship Id="rId352" Type="http://schemas.openxmlformats.org/officeDocument/2006/relationships/hyperlink" Target="../MANUALS/2.%20IRENES%20WISDOM/4.%20IRENES%20WISDOM-RULE/7.Electric/E-13_ARRG%27T%20OF%20ECHO%20SOUNDER%20%26%20SPEED%20LOG.pdf" TargetMode="External"/><Relationship Id="rId394" Type="http://schemas.openxmlformats.org/officeDocument/2006/relationships/hyperlink" Target="../MANUALS/2.%20IRENES%20WISDOM/4.%20IRENES%20WISDOM-RULE/7.Electric/E-61%20LIGHTING%20FIXTURE.pdf" TargetMode="External"/><Relationship Id="rId40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7%20DIESEL%20GENERATOR&amp;View=%7BB2C268B8%2DAED3%2D4876%2D837F%2DD0E595242160%7D" TargetMode="External"/><Relationship Id="rId212" Type="http://schemas.openxmlformats.org/officeDocument/2006/relationships/hyperlink" Target="../MANUALS/2.%20IRENES%20WISDOM/4.%20IRENES%20WISDOM-RULE/6.Machinery/M-28%20PACKAGED%20AIR%20CON.%20FOR%20E.C.R.pdf" TargetMode="External"/><Relationship Id="rId254" Type="http://schemas.openxmlformats.org/officeDocument/2006/relationships/hyperlink" Target="../MANUALS/2.%20IRENES%20WISDOM/4.%20IRENES%20WISDOM-RULE/6.Machinery/M-27%20ER%20VENTILATION%20FAN/220926_hmd04193fm_final%20dwg.pdf" TargetMode="External"/><Relationship Id="rId49" Type="http://schemas.openxmlformats.org/officeDocument/2006/relationships/hyperlink" Target="../MANUALS/2.%20IRENES%20WISDOM/4.%20IRENES%20WISDOM-RULE/2.Hull/H-22_FORE%20END%20%26%20F%27CLE%20DECK%20CONSTRUCTION(INCL.%20BULWARK).pdf" TargetMode="External"/><Relationship Id="rId114" Type="http://schemas.openxmlformats.org/officeDocument/2006/relationships/hyperlink" Target="../MANUALS/2.%20IRENES%20WISDOM/4.%20IRENES%20WISDOM-RULE/4.Accommodation/A-11_FURNITURE.pdf" TargetMode="External"/><Relationship Id="rId29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1%20DIESEL%20GENERATOR%20ENGINE%2F2&amp;View=%7BB2C268B8%2DAED3%2D4876%2D837F%2DD0E595242160%7D" TargetMode="External"/><Relationship Id="rId461" Type="http://schemas.openxmlformats.org/officeDocument/2006/relationships/hyperlink" Target="../MANUALS/2.%20IRENES%20WISDOM/4.%20IRENES%20WISDOM-RULE/7.Electric/E-59%20INSTRUMENTS/MANUAL.pdf" TargetMode="External"/><Relationship Id="rId517" Type="http://schemas.openxmlformats.org/officeDocument/2006/relationships/hyperlink" Target="https://dasoulutions.sharepoint.com/:x:/s/ANCHOOREDDATASOLUTIONS/IQDcUT7Nu7J1TLnAVcmefGxCAW0hABNyJb9AmeULTse8AeU?e=W9Olbg" TargetMode="External"/><Relationship Id="rId559" Type="http://schemas.openxmlformats.org/officeDocument/2006/relationships/hyperlink" Target="https://dasoulutions.sharepoint.com/:x:/s/ANCHOOREDDATASOLUTIONS/IQCfvLhxNcqVR6bO6tpE4n_1AaZqF-5FwUtfj5bdSEhsLHg?e=paKwgn" TargetMode="External"/><Relationship Id="rId60" Type="http://schemas.openxmlformats.org/officeDocument/2006/relationships/hyperlink" Target="../MANUALS/2.%20IRENES%20WISDOM/4.%20IRENES%20WISDOM-RULE/2.Hull/H-8_STERN%20FRAME%20CONSTRUCTION(Incl.%20RUDDER%20STOCK%20TRUNK).pdf" TargetMode="External"/><Relationship Id="rId156" Type="http://schemas.openxmlformats.org/officeDocument/2006/relationships/hyperlink" Target="../MANUALS/2.%20IRENES%20WISDOM/4.%20IRENES%20WISDOM-RULE/4.Accommodation/A-1_ACCOMMODATION%20PLAN/A-1-6_ACCOMMODATION%20PLAN%20ON%20E%20DECK.pdf" TargetMode="External"/><Relationship Id="rId198" Type="http://schemas.openxmlformats.org/officeDocument/2006/relationships/hyperlink" Target="../MANUALS/2.%20IRENES%20WISDOM/4.%20IRENES%20WISDOM-RULE/6.Machinery/M-15_ARRG%27T%20OF%20SHIP%20SIDE%20V_V%20%26%20DET.%20OF%20PIPE%20IN%20E_ROOM%20(INCL.%20SEA%20CHEST).pdf" TargetMode="External"/><Relationship Id="rId321" Type="http://schemas.openxmlformats.org/officeDocument/2006/relationships/hyperlink" Target="../MANUALS/2.%20IRENES%20WISDOM/4.%20IRENES%20WISDOM-RULE/6.Machinery/M-46%20PURIFIER/4.%20Table%20of%20lubricating%20oils.pdf" TargetMode="External"/><Relationship Id="rId363" Type="http://schemas.openxmlformats.org/officeDocument/2006/relationships/hyperlink" Target="../MANUALS/2.%20IRENES%20WISDOM/4.%20IRENES%20WISDOM-RULE/7.Electric/E-23_ELECTRIC%20LOAD%20ANALYSIS.pdf" TargetMode="External"/><Relationship Id="rId419" Type="http://schemas.openxmlformats.org/officeDocument/2006/relationships/hyperlink" Target="../MANUALS/2.%20IRENES%20WISDOM/4.%20IRENES%20WISDOM-RULE/7.Electric/E-32%20AUTO%20PILOT%20%26%20GYRO%20COMPASS/IM-PT500_900_N-E-9th.pdf" TargetMode="External"/><Relationship Id="rId570" Type="http://schemas.openxmlformats.org/officeDocument/2006/relationships/hyperlink" Target="https://dasoulutions.sharepoint.com/:x:/r/sites/ANCHOOREDDATASOLUTIONS/_layouts/15/Doc.aspx?sourcedoc=%7B90A262BB-DDBA-4591-84BD-DB2D23A08A7C%7D&amp;file=SARANYA_F-26%20STEERING%20GEAR.pdf.xlsx&amp;action=default&amp;mobileredirect=true" TargetMode="External"/><Relationship Id="rId223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9%20STERN%20TUBE%20SEAL%26BEARINGS&amp;View=%7BB2C268B8%2DAED3%2D4876%2D837F%2DD0E595242160%7D" TargetMode="External"/><Relationship Id="rId430" Type="http://schemas.openxmlformats.org/officeDocument/2006/relationships/hyperlink" Target="../MANUALS/2.%20IRENES%20WISDOM/4.%20IRENES%20WISDOM-RULE/7.Electric/E-33,34,35,36,39,40,44,45,62,63%20JRC/2DJ-3533_ECDIS_JAN-7201_9201(E)7ZPNA4640A(V2)%20QUICK%20REFERENCE_170901.pdf" TargetMode="External"/><Relationship Id="rId18" Type="http://schemas.openxmlformats.org/officeDocument/2006/relationships/hyperlink" Target="../MANUALS/2.%20IRENES%20WISDOM/4.%20IRENES%20WISDOM-RULE/1.Basic/B-15_VISIBILITY%20CALCULATION(PANAMA).pdf" TargetMode="External"/><Relationship Id="rId265" Type="http://schemas.openxmlformats.org/officeDocument/2006/relationships/hyperlink" Target="../MANUALS/2.%20IRENES%20WISDOM/4.%20IRENES%20WISDOM-RULE/6.Machinery/M-32%20BALLAST%20WATER%20TREATMENT%20PLANT/ECS%20MANUAL(APPENDIX%20%E2%85%A1_Ver.C)%20HMD%204193_94_4232_33_34_35%20(2022.08.18).pdf" TargetMode="External"/><Relationship Id="rId472" Type="http://schemas.openxmlformats.org/officeDocument/2006/relationships/hyperlink" Target="../MANUALS/2.%20IRENES%20WISDOM/4.%20IRENES%20WISDOM-RULE/7.Electric/E-78%20EM%27CY%20DIESEL%20GENERATOR%20SET/1.%20Specification/1-2.%20Fuel%20Dilution%20Recommendation.pdf" TargetMode="External"/><Relationship Id="rId528" Type="http://schemas.openxmlformats.org/officeDocument/2006/relationships/hyperlink" Target="https://dasoulutions.sharepoint.com/:x:/s/ANCHOOREDDATASOLUTIONS/IQC9CWdTdUrFR4TX1N6YuZzcATyDCgvRAW-3bE0qtBtc4k8?e=dqFZqt" TargetMode="External"/><Relationship Id="rId125" Type="http://schemas.openxmlformats.org/officeDocument/2006/relationships/hyperlink" Target="../MANUALS/2.%20IRENES%20WISDOM/4.%20IRENES%20WISDOM-RULE/4.Accommodation/A-21%20AIR%20CONDITIONING%20PLANT.pdf" TargetMode="External"/><Relationship Id="rId167" Type="http://schemas.openxmlformats.org/officeDocument/2006/relationships/hyperlink" Target="../MANUALS/2.%20IRENES%20WISDOM/4.%20IRENES%20WISDOM-RULE/5.Hull%20Piping/P-17%20VALVE%20REMOTE%20CONTROL%20SYSTEM.pdf" TargetMode="External"/><Relationship Id="rId332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8%20AIR%20COMPRESSOR%2F2&amp;View=%7BB2C268B8%2DAED3%2D4876%2D837F%2DD0E595242160%7D" TargetMode="External"/><Relationship Id="rId374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33%2C34%2C35%2C36%2C39%2C40%2C44%2C45%2C62%2C63%20JRC&amp;View=%7BB2C268B8%2DAED3%2D4876%2D837F%2DD0E595242160%7D" TargetMode="External"/><Relationship Id="rId581" Type="http://schemas.openxmlformats.org/officeDocument/2006/relationships/hyperlink" Target="https://dasoulutions.sharepoint.com/:x:/s/ANCHOOREDDATASOLUTIONS/IQCpaNrfGSqrRaZrWPsxaG-3AbHLQA-pWPt5ZQ1AoXUEnHM?e=wgaaEy" TargetMode="External"/><Relationship Id="rId71" Type="http://schemas.openxmlformats.org/officeDocument/2006/relationships/hyperlink" Target="../MANUALS/2.%20IRENES%20WISDOM/4.%20IRENES%20WISDOM-RULE/3.Hull%20Outfitting/F-17_ARRG%27T%20OF%20ANCHOR%20HANDLING%20SYSTEM.pdf" TargetMode="External"/><Relationship Id="rId234" Type="http://schemas.openxmlformats.org/officeDocument/2006/relationships/hyperlink" Target="../MANUALS/2.%20IRENES%20WISDOM/4.%20IRENES%20WISDOM-RULE/6.Machinery/M-5_ARRG%27T%20%26%20DET.%20FOR%20VENT.%20DAMPER%20REMOTE%20CONT.%20SYS.pdf" TargetMode="External"/><Relationship Id="rId2" Type="http://schemas.openxmlformats.org/officeDocument/2006/relationships/hyperlink" Target="../MANUALS/C.V.%20IRENES%20WISDOM_MANUAL_LISTING.xlsx" TargetMode="External"/><Relationship Id="rId29" Type="http://schemas.openxmlformats.org/officeDocument/2006/relationships/hyperlink" Target="../MANUALS/2.%20IRENES%20WISDOM/4.%20IRENES%20WISDOM-RULE/1.Basic/B-4_DOCKING%20PLAN.pdf" TargetMode="External"/><Relationship Id="rId276" Type="http://schemas.openxmlformats.org/officeDocument/2006/relationships/hyperlink" Target="../MANUALS/2.%20IRENES%20WISDOM/4.%20IRENES%20WISDOM-RULE/6.Machinery/M-34%20MAIN%20ENGINE/1/MANUAL/VOLUME%20II.pdf" TargetMode="External"/><Relationship Id="rId441" Type="http://schemas.openxmlformats.org/officeDocument/2006/relationships/hyperlink" Target="../MANUALS/2.%20IRENES%20WISDOM/4.%20IRENES%20WISDOM-RULE/7.Electric/E-33,34,35,36,39,40,44,45,62,63%20JRC/2DJ-3533_RADAR_JMR-7200_9200s(E)7ZPNA4395(V1)%20QUICK%20OP%20GUIDE_161215.pdf" TargetMode="External"/><Relationship Id="rId483" Type="http://schemas.openxmlformats.org/officeDocument/2006/relationships/hyperlink" Target="../MANUALS/2.%20IRENES%20WISDOM/4.%20IRENES%20WISDOM-RULE/7.Electric/E-79%20POWER%20%26%20LIGHTING%20TRANSFORMER/220422%20Installation,%20use%20and%20maintenance%20manual%20Rev.3.pdf" TargetMode="External"/><Relationship Id="rId539" Type="http://schemas.openxmlformats.org/officeDocument/2006/relationships/hyperlink" Target="https://dasoulutions.sharepoint.com/:x:/s/ANCHOOREDDATASOLUTIONS/IQCQRglFHxONRLlOLUt7nY4VAdWeBJW11ABvUtemZq5VBiM?e=JbzOEA" TargetMode="External"/><Relationship Id="rId40" Type="http://schemas.openxmlformats.org/officeDocument/2006/relationships/hyperlink" Target="../MANUALS/2.%20IRENES%20WISDOM/4.%20IRENES%20WISDOM-RULE/2.Hull/H-14_INTERMEDIATE%20SHAFT%20BEARING%20SEAT.pdf" TargetMode="External"/><Relationship Id="rId136" Type="http://schemas.openxmlformats.org/officeDocument/2006/relationships/hyperlink" Target="../MANUALS/2.%20IRENES%20WISDOM/4.%20IRENES%20WISDOM-RULE/4.Accommodation/A-31_ONBOARD%20TEST%20PROCEDURE%20FOR%20ACCOM.pdf" TargetMode="External"/><Relationship Id="rId178" Type="http://schemas.openxmlformats.org/officeDocument/2006/relationships/hyperlink" Target="../MANUALS/2.%20IRENES%20WISDOM/4.%20IRENES%20WISDOM-RULE/5.Hull%20Piping/P-6_SEA%20CHEST%20GRAT%27G%20%26%20SHIP%20SIDE%20NOZZLE.pdf" TargetMode="External"/><Relationship Id="rId301" Type="http://schemas.openxmlformats.org/officeDocument/2006/relationships/hyperlink" Target="../MANUALS/2.%20IRENES%20WISDOM/4.%20IRENES%20WISDOM-RULE/6.Machinery/M-41%20DIESEL%20GENERATOR%20ENGINE/1/data/VOL%202.pdf" TargetMode="External"/><Relationship Id="rId343" Type="http://schemas.openxmlformats.org/officeDocument/2006/relationships/hyperlink" Target="../MANUALS/2.%20IRENES%20WISDOM/4.%20IRENES%20WISDOM-RULE/6.Machinery/M-53%20M.G.P.S/MGPS/MGPS%20Manual%20rev.17.pdf" TargetMode="External"/><Relationship Id="rId550" Type="http://schemas.openxmlformats.org/officeDocument/2006/relationships/hyperlink" Target="https://dasoulutions.sharepoint.com/:x:/s/ANCHOOREDDATASOLUTIONS/IQBfysGT9J5MQKdniRc2rculAfDFzDAsUSLbRqvCZMbItAI?e=Ohb7h4" TargetMode="External"/><Relationship Id="rId82" Type="http://schemas.openxmlformats.org/officeDocument/2006/relationships/hyperlink" Target="../MANUALS/2.%20IRENES%20WISDOM/4.%20IRENES%20WISDOM-RULE/3.Hull%20Outfitting/F-27%20BOW(TUNNEL)%20THRUSTER.pdf" TargetMode="External"/><Relationship Id="rId203" Type="http://schemas.openxmlformats.org/officeDocument/2006/relationships/hyperlink" Target="../MANUALS/2.%20IRENES%20WISDOM/4.%20IRENES%20WISDOM-RULE/6.Machinery/M-2_PIPING%20SYSTEM%20DIAGRAM%20IN%20E_ROOM.pdf" TargetMode="External"/><Relationship Id="rId385" Type="http://schemas.openxmlformats.org/officeDocument/2006/relationships/hyperlink" Target="../MANUALS/2.%20IRENES%20WISDOM/4.%20IRENES%20WISDOM-RULE/7.Electric/E-51%20FIRE%20ALARM%20%26%20DETECTION%20SYSTEM%20%20%20%20%20%20%20%20%20%20%20%20%20%20%20%20%20%20%20%20%20%20%20%20%20%20%20%20%20%20%20.pdf" TargetMode="External"/><Relationship Id="rId245" Type="http://schemas.openxmlformats.org/officeDocument/2006/relationships/hyperlink" Target="../MANUALS/2.%20IRENES%20WISDOM/4.%20IRENES%20WISDOM-RULE/6.Machinery/M-6_ARRG%27T%20%26%20DET.%20OF%20MAIN%20ENGINE%20TOP%20BRACING.pdf" TargetMode="External"/><Relationship Id="rId287" Type="http://schemas.openxmlformats.org/officeDocument/2006/relationships/hyperlink" Target="../MANUALS/2.%20IRENES%20WISDOM/4.%20IRENES%20WISDOM-RULE/6.Machinery/M-39%20STERN%20TUBE%20SEAL%26BEARINGS/INSTRUCTION%20MANUAL%20for%20INTERMEDIATE%20SHAFT%20BEARING_KMS(200221).pdf" TargetMode="External"/><Relationship Id="rId410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9%20POWER%20%26%20LIGHTING%20TRANSFORMER&amp;View=%7BB2C268B8%2DAED3%2D4876%2D837F%2DD0E595242160%7D" TargetMode="External"/><Relationship Id="rId452" Type="http://schemas.openxmlformats.org/officeDocument/2006/relationships/hyperlink" Target="../MANUALS/2.%20IRENES%20WISDOM/4.%20IRENES%20WISDOM-RULE/7.Electric/E-52%20ENGINE%20CONTROL%20CONSOLE/202210247_HM-H4193-94_4232-35%20ECC%20WD%20E03%20(FULL).pdf" TargetMode="External"/><Relationship Id="rId494" Type="http://schemas.openxmlformats.org/officeDocument/2006/relationships/hyperlink" Target="../MANUALS/2.%20IRENES%20WISDOM/4.%20IRENES%20WISDOM-RULE/7.Electric/E-81%20INSTRUCTIOIN%20MANUAL%20FOR%20MAIN%20%26%20EM%27CY%20SWITCHBOARD%20%26%20STARTER/4.PMS%20USER%20MANUAL.pdf" TargetMode="External"/><Relationship Id="rId508" Type="http://schemas.openxmlformats.org/officeDocument/2006/relationships/hyperlink" Target="../MANUALS/2.%20IRENES%20WISDOM/4.%20IRENES%20WISDOM-RULE/5.Hull%20Piping/P-18%20EMERGENCY%20FIRE%20PUMP/INSTRUCTION%20MANUAL%20(inside%20bearing%20gear%20pumps)%20.pdf" TargetMode="External"/><Relationship Id="rId105" Type="http://schemas.openxmlformats.org/officeDocument/2006/relationships/hyperlink" Target="../MANUALS/2.%20IRENES%20WISDOM/4.%20IRENES%20WISDOM-RULE/3.Hull%20Outfitting/F-33%20CARGO%20HATCH%20COVER/HMD%204193_hatch%20cover_Final.pdf" TargetMode="External"/><Relationship Id="rId147" Type="http://schemas.openxmlformats.org/officeDocument/2006/relationships/hyperlink" Target="../MANUALS/2.%20IRENES%20WISDOM/4.%20IRENES%20WISDOM-RULE/4.Accommodation/A-6_DECK%20HOUSE%20CONSTRUCTION(INCL.%20FUNNEL%20%26%20CASING).pdf" TargetMode="External"/><Relationship Id="rId312" Type="http://schemas.openxmlformats.org/officeDocument/2006/relationships/hyperlink" Target="../MANUALS/2.%20IRENES%20WISDOM/4.%20IRENES%20WISDOM-RULE/6.Machinery/M-44,45%20ER%20CENTRIFUGAL%20PUMP/INSTRUCTION%20MANUAL%20(centrifugal%20pumps)%20.pdf" TargetMode="External"/><Relationship Id="rId354" Type="http://schemas.openxmlformats.org/officeDocument/2006/relationships/hyperlink" Target="../MANUALS/2.%20IRENES%20WISDOM/4.%20IRENES%20WISDOM-RULE/7.Electric/E-15_G_A%20OF%20ELEC.%20EQUIP.%20IN%20S_GEAR%20ROOM%20%26%20E_ROOM.pdf" TargetMode="External"/><Relationship Id="rId51" Type="http://schemas.openxmlformats.org/officeDocument/2006/relationships/hyperlink" Target="../MANUALS/2.%20IRENES%20WISDOM/4.%20IRENES%20WISDOM-RULE/2.Hull/H-24_STANDARD%20OF%20HULL%20STRUCTURAL%20DETAIL.pdf" TargetMode="External"/><Relationship Id="rId93" Type="http://schemas.openxmlformats.org/officeDocument/2006/relationships/hyperlink" Target="../MANUALS/2.%20IRENES%20WISDOM/4.%20IRENES%20WISDOM-RULE/3.Hull%20Outfitting/F-38%20RESCUE%20BOAT.pdf" TargetMode="External"/><Relationship Id="rId189" Type="http://schemas.openxmlformats.org/officeDocument/2006/relationships/hyperlink" Target="../MANUALS/2.%20IRENES%20WISDOM/4.%20IRENES%20WISDOM-RULE/5.Hull%20Piping/P-18%20EMERGENCY%20FIRE%20PUMP/INSTRUCTION%20MANUAL%20(one%20screw%20pumps)%20.pdf" TargetMode="External"/><Relationship Id="rId396" Type="http://schemas.openxmlformats.org/officeDocument/2006/relationships/hyperlink" Target="../MANUALS/2.%20IRENES%20WISDOM/4.%20IRENES%20WISDOM-RULE/7.Electric/E-66%20EM%27CY%20SWITCH%20BOARD.PDF" TargetMode="External"/><Relationship Id="rId561" Type="http://schemas.openxmlformats.org/officeDocument/2006/relationships/hyperlink" Target="../MANUALS/2.%20IRENES%20WISDOM/4.%20IRENES%20WISDOM-RULE/7.Electric/E-42%20ME%20HORSE%20POWER%20METER.pdf" TargetMode="External"/><Relationship Id="rId214" Type="http://schemas.openxmlformats.org/officeDocument/2006/relationships/hyperlink" Target="../MANUALS/2.%20IRENES%20WISDOM/4.%20IRENES%20WISDOM-RULE/6.Machinery/M-3_KEY%20PLAN%20OF%20VENT%20DUCT,LADDER%20%26%20GRATING%20IN%20E_ROOM.pdf" TargetMode="External"/><Relationship Id="rId256" Type="http://schemas.openxmlformats.org/officeDocument/2006/relationships/hyperlink" Target="../MANUALS/2.%20IRENES%20WISDOM/4.%20IRENES%20WISDOM-RULE/6.Machinery/M-29,30%20PRESSURE%20CONTROL%20VALVE/HMD%204193%20CONTROL%20VALVE%20FINAL%20DWG.pdf" TargetMode="External"/><Relationship Id="rId29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1%20DIESEL%20GENERATOR%20ENGINE%2F1%2Fdata&amp;View=%7BB2C268B8%2DAED3%2D4876%2D837F%2DD0E595242160%7D" TargetMode="External"/><Relationship Id="rId421" Type="http://schemas.openxmlformats.org/officeDocument/2006/relationships/hyperlink" Target="../MANUALS/2.%20IRENES%20WISDOM/4.%20IRENES%20WISDOM-RULE/7.Electric/E-32%20AUTO%20PILOT%20%26%20GYRO%20COMPASS/R1J2271_FINAL.pdf" TargetMode="External"/><Relationship Id="rId463" Type="http://schemas.openxmlformats.org/officeDocument/2006/relationships/hyperlink" Target="../MANUALS/2.%20IRENES%20WISDOM/4.%20IRENES%20WISDOM-RULE/7.Electric/E-75%20ELEC.%20EQUIP.%20FOR%20REEFER%20MONITORING%20SYSTEM/REFMAN%20Ver%202.9%20MANUAL(RMM)%20R1.pdf" TargetMode="External"/><Relationship Id="rId519" Type="http://schemas.openxmlformats.org/officeDocument/2006/relationships/hyperlink" Target="https://dasoulutions.sharepoint.com/:x:/s/ANCHOOREDDATASOLUTIONS/IQCmGqDaMBc_T4Z0Cw9TXlknAT2Q7BC0HHPVzIgunGQ1tN8?e=yVlZL8" TargetMode="External"/><Relationship Id="rId116" Type="http://schemas.openxmlformats.org/officeDocument/2006/relationships/hyperlink" Target="../MANUALS/2.%20IRENES%20WISDOM/4.%20IRENES%20WISDOM-RULE/4.Accommodation/A-13_ARRG%27T%20OF%20OX_AC%20ROOM.pdf" TargetMode="External"/><Relationship Id="rId158" Type="http://schemas.openxmlformats.org/officeDocument/2006/relationships/hyperlink" Target="../MANUALS/2.%20IRENES%20WISDOM/4.%20IRENES%20WISDOM-RULE/4.Accommodation/A-1_ACCOMMODATION%20PLAN/A-1-8_ACCOMMODATION%20PLAN%20ON%20NAV.%20DECK.pdf" TargetMode="External"/><Relationship Id="rId323" Type="http://schemas.openxmlformats.org/officeDocument/2006/relationships/hyperlink" Target="../MANUALS/2.%20IRENES%20WISDOM/4.%20IRENES%20WISDOM-RULE/6.Machinery/M-46%20PURIFIER/6.%20Spare%20parts%20catalog%20for%20OSF25-0136.pdf" TargetMode="External"/><Relationship Id="rId530" Type="http://schemas.openxmlformats.org/officeDocument/2006/relationships/hyperlink" Target="https://dasoulutions.sharepoint.com/:x:/s/ANCHOOREDDATASOLUTIONS/IQB1GN67tjyCRI2Lkx0JK2qtAbHhIIF9WBg2JCuDDq2z4U4?e=bzHINf" TargetMode="External"/><Relationship Id="rId20" Type="http://schemas.openxmlformats.org/officeDocument/2006/relationships/hyperlink" Target="../MANUALS/2.%20IRENES%20WISDOM/4.%20IRENES%20WISDOM-RULE/1.Basic/B-17_EEDI%20TECHNICAL%20FILE.pdf" TargetMode="External"/><Relationship Id="rId62" Type="http://schemas.openxmlformats.org/officeDocument/2006/relationships/hyperlink" Target="../MANUALS/2.%20IRENES%20WISDOM/4.%20IRENES%20WISDOM-RULE/3.Hull%20Outfitting/4193_Loading%20Plan%20for%2045FT%20Pallet%20Wide%20High%20Cube%20CNTR.pdf" TargetMode="External"/><Relationship Id="rId365" Type="http://schemas.openxmlformats.org/officeDocument/2006/relationships/hyperlink" Target="../MANUALS/2.%20IRENES%20WISDOM/4.%20IRENES%20WISDOM-RULE/7.Electric/E-25_ONBOARD%20TEST%20PROCEDURE%20FOR%20ELECTRIC%20EQUIPMENT.pdf" TargetMode="External"/><Relationship Id="rId572" Type="http://schemas.openxmlformats.org/officeDocument/2006/relationships/hyperlink" Target="https://dasoulutions.sharepoint.com/:x:/r/sites/ANCHOOREDDATASOLUTIONS/_layouts/15/Doc.aspx?sourcedoc=%7BDDD42A42-A546-445D-BA0F-6DCB83BA51DB%7D&amp;file=SARANYA_2-1.%20AD086TI%20Operation%20and%20Maintenance%20Manual.pdf.xlsx&amp;action=default&amp;mobileredirect=true" TargetMode="External"/><Relationship Id="rId225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0%20SHAFT%20EARTHING%20DEVICE&amp;View=%7BB2C268B8%2DAED3%2D4876%2D837F%2DD0E595242160%7D" TargetMode="External"/><Relationship Id="rId26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4%20MAIN%20ENGINE%2F1&amp;View=%7BB2C268B8%2DAED3%2D4876%2D837F%2DD0E595242160%7D" TargetMode="External"/><Relationship Id="rId432" Type="http://schemas.openxmlformats.org/officeDocument/2006/relationships/hyperlink" Target="../MANUALS/2.%20IRENES%20WISDOM/4.%20IRENES%20WISDOM-RULE/7.Electric/E-33,34,35,36,39,40,44,45,62,63%20JRC/2DJ-3533_EPIRB_Tron60AIS(E)7ZPSC0723(V1)%20OPERATION%20MANUAL%20220822.pdf" TargetMode="External"/><Relationship Id="rId474" Type="http://schemas.openxmlformats.org/officeDocument/2006/relationships/hyperlink" Target="../MANUALS/2.%20IRENES%20WISDOM/4.%20IRENES%20WISDOM-RULE/7.Electric/E-78%20EM%27CY%20DIESEL%20GENERATOR%20SET/1.%20Specification/1-4.%20Cleaning%20the%20Radiator%20Core.pdf" TargetMode="External"/><Relationship Id="rId127" Type="http://schemas.openxmlformats.org/officeDocument/2006/relationships/hyperlink" Target="../MANUALS/2.%20IRENES%20WISDOM/4.%20IRENES%20WISDOM-RULE/4.Accommodation/A-23%20WINDOW%20WIPER%20%26%20CLEAR%20VIEW%20SCREEN.pdf" TargetMode="External"/><Relationship Id="rId31" Type="http://schemas.openxmlformats.org/officeDocument/2006/relationships/hyperlink" Target="../MANUALS/2.%20IRENES%20WISDOM/4.%20IRENES%20WISDOM-RULE/1.Basic/B-6_DAMAGE%20CONTROL%20PLAN.pdf" TargetMode="External"/><Relationship Id="rId73" Type="http://schemas.openxmlformats.org/officeDocument/2006/relationships/hyperlink" Target="../MANUALS/2.%20IRENES%20WISDOM/4.%20IRENES%20WISDOM-RULE/3.Hull%20Outfitting/F-19_ONBOARD%20TEST%20PROCEDURE(OUTFITTING%20PART).pdf" TargetMode="External"/><Relationship Id="rId169" Type="http://schemas.openxmlformats.org/officeDocument/2006/relationships/hyperlink" Target="../MANUALS/2.%20IRENES%20WISDOM/4.%20IRENES%20WISDOM-RULE/5.Hull%20Piping/P-19%20CO2%20EXTINGUISHING%20SYSTEM.pdf" TargetMode="External"/><Relationship Id="rId334" Type="http://schemas.openxmlformats.org/officeDocument/2006/relationships/hyperlink" Target="../MANUALS/2.%20IRENES%20WISDOM/4.%20IRENES%20WISDOM-RULE/6.Machinery/M-48%20AIR%20COMPRESSOR/1/H4193,94_MAIN%20AIR%20COMPRESSOR_FINAL%20DRAWING.pdf" TargetMode="External"/><Relationship Id="rId376" Type="http://schemas.openxmlformats.org/officeDocument/2006/relationships/hyperlink" Target="../MANUALS/2.%20IRENES%20WISDOM/4.%20IRENES%20WISDOM-RULE/7.Electric/E-38%20WHISTLE.pdf" TargetMode="External"/><Relationship Id="rId541" Type="http://schemas.openxmlformats.org/officeDocument/2006/relationships/hyperlink" Target="https://dasoulutions.sharepoint.com/:x:/s/ANCHOOREDDATASOLUTIONS/IQAej5p1K9vuQI17BbHjinuLAUHI3xkrpv3XejIodUWgvAo?e=PkV5NS" TargetMode="External"/><Relationship Id="rId583" Type="http://schemas.openxmlformats.org/officeDocument/2006/relationships/vmlDrawing" Target="../drawings/vmlDrawing1.vml"/><Relationship Id="rId4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1%2EBasic&amp;View=%7BB2C268B8%2DAED3%2D4876%2D837F%2DD0E595242160%7D" TargetMode="External"/><Relationship Id="rId180" Type="http://schemas.openxmlformats.org/officeDocument/2006/relationships/hyperlink" Target="../MANUALS/2.%20IRENES%20WISDOM/4.%20IRENES%20WISDOM-RULE/5.Hull%20Piping/P-8_PIPING%20ARR%27T%20OF%20CARGO%20HOLD%20(INCL.%20H_COIL%20FOR%20L.F.O.%20STOR.%20TK).pdf" TargetMode="External"/><Relationship Id="rId236" Type="http://schemas.openxmlformats.org/officeDocument/2006/relationships/hyperlink" Target="../MANUALS/2.%20IRENES%20WISDOM/4.%20IRENES%20WISDOM-RULE/6.Machinery/M-51%20F.W.%20GENERATOR.pdf" TargetMode="External"/><Relationship Id="rId278" Type="http://schemas.openxmlformats.org/officeDocument/2006/relationships/hyperlink" Target="../MANUALS/2.%20IRENES%20WISDOM/4.%20IRENES%20WISDOM-RULE/6.Machinery/M-34%20MAIN%20ENGINE/2/Start.pdf" TargetMode="External"/><Relationship Id="rId401" Type="http://schemas.openxmlformats.org/officeDocument/2006/relationships/hyperlink" Target="../MANUALS/2.%20IRENES%20WISDOM/4.%20IRENES%20WISDOM-RULE/7.Electric/E-70%20LGSP%20%26%20INDIVIDUAL%20STARTER.pdf" TargetMode="External"/><Relationship Id="rId443" Type="http://schemas.openxmlformats.org/officeDocument/2006/relationships/hyperlink" Target="../MANUALS/2.%20IRENES%20WISDOM/4.%20IRENES%20WISDOM-RULE/7.Electric/E-33,34,35,36,39,40,44,45,62,63%20JRC/2DJ-3533_SART_Tron%20SART20(E)7ZPJD0462A%20USERS%20MANUAL%20110207.pdf" TargetMode="External"/><Relationship Id="rId303" Type="http://schemas.openxmlformats.org/officeDocument/2006/relationships/hyperlink" Target="../MANUALS/2.%20IRENES%20WISDOM/4.%20IRENES%20WISDOM-RULE/6.Machinery/M-41%20DIESEL%20GENERATOR%20ENGINE/2/Start.pdf" TargetMode="External"/><Relationship Id="rId485" Type="http://schemas.openxmlformats.org/officeDocument/2006/relationships/hyperlink" Target="../MANUALS/2.%20IRENES%20WISDOM/4.%20IRENES%20WISDOM-RULE/7.Electric/E-81%20INSTRUCTIOIN%20MANUAL%20FOR%20MAIN%20%26%20EM%27CY%20SWITCHBOARD%20%26%20STARTER/0.INSTRUCTION%20MANUAL%20FOR%20440V%20switchboard.pdf" TargetMode="External"/><Relationship Id="rId42" Type="http://schemas.openxmlformats.org/officeDocument/2006/relationships/hyperlink" Target="../MANUALS/2.%20IRENES%20WISDOM/4.%20IRENES%20WISDOM-RULE/2.Hull/H-16_AIR%20COMPRESSOR%20SEAT.pdf" TargetMode="External"/><Relationship Id="rId84" Type="http://schemas.openxmlformats.org/officeDocument/2006/relationships/hyperlink" Target="../MANUALS/2.%20IRENES%20WISDOM/4.%20IRENES%20WISDOM-RULE/3.Hull%20Outfitting/F-3_SHIP%27S%20NAME%20%26%20REGISTER%20PORT%20NAME(INCL.MISCELLANEOUS%20SHIP%27S%20MARK).pdf" TargetMode="External"/><Relationship Id="rId138" Type="http://schemas.openxmlformats.org/officeDocument/2006/relationships/hyperlink" Target="../MANUALS/2.%20IRENES%20WISDOM/4.%20IRENES%20WISDOM-RULE/4.Accommodation/A-33_STANDARD%20PRACTICE(PIPING)%20IN%20ACCOM.pdf" TargetMode="External"/><Relationship Id="rId345" Type="http://schemas.openxmlformats.org/officeDocument/2006/relationships/hyperlink" Target="../MANUALS/2.%20IRENES%20WISDOM/4.%20IRENES%20WISDOM-RULE/6.Machinery/M-58%20DRILLING%20%26%20GRINDING%20MACHINE/H4193%20GRINDING%20MACHINE%20FINAL%20%20DRAWING%20%26%20INSTRUCTION%20MANUAL.pdf" TargetMode="External"/><Relationship Id="rId38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53%2C58%20ER%20ALARM%20%26%20MONITORING%20SYS&amp;View=%7BB2C268B8%2DAED3%2D4876%2D837F%2DD0E595242160%7D" TargetMode="External"/><Relationship Id="rId510" Type="http://schemas.openxmlformats.org/officeDocument/2006/relationships/hyperlink" Target="../MANUALS/2.%20IRENES%20WISDOM/4.%20IRENES%20WISDOM-RULE/5.Hull%20Piping/P-18%20EMERGENCY%20FIRE%20PUMP/INSTRUCTION%20MANUAL%20(one%20screw%20pumps)%20.pdf" TargetMode="External"/><Relationship Id="rId552" Type="http://schemas.openxmlformats.org/officeDocument/2006/relationships/hyperlink" Target="https://dasoulutions.sharepoint.com/:x:/s/ANCHOOREDDATASOLUTIONS/IQCrKnuTiSEfTp03FPRqCl8FASVLVR2i0NWTr4c19a-gLA0?e=vTV3X1" TargetMode="External"/><Relationship Id="rId191" Type="http://schemas.openxmlformats.org/officeDocument/2006/relationships/hyperlink" Target="../MANUALS/2.%20IRENES%20WISDOM/4.%20IRENES%20WISDOM-RULE/5.Hull%20Piping/P-18%20EMERGENCY%20FIRE%20PUMP/INSTRUCTION%20MANUAL%20(three%20rotor%20screw%20pumps%20_MST)%20.pdf" TargetMode="External"/><Relationship Id="rId205" Type="http://schemas.openxmlformats.org/officeDocument/2006/relationships/hyperlink" Target="../MANUALS/2.%20IRENES%20WISDOM/4.%20IRENES%20WISDOM-RULE/6.Machinery/M-21_FLUSHING%20PROCEDURE%20IN%20E_ROOM.pdf" TargetMode="External"/><Relationship Id="rId247" Type="http://schemas.openxmlformats.org/officeDocument/2006/relationships/hyperlink" Target="../MANUALS/2.%20IRENES%20WISDOM/4.%20IRENES%20WISDOM-RULE/6.Machinery/M-61%20INCINERATOR.pdf" TargetMode="External"/><Relationship Id="rId412" Type="http://schemas.openxmlformats.org/officeDocument/2006/relationships/hyperlink" Target="../MANUALS/2.%20IRENES%20WISDOM/4.%20IRENES%20WISDOM-RULE/7.Electric/E-80_SCHEDULE%20OF%20BATTERY.pdf" TargetMode="External"/><Relationship Id="rId107" Type="http://schemas.openxmlformats.org/officeDocument/2006/relationships/hyperlink" Target="../MANUALS/2.%20IRENES%20WISDOM/4.%20IRENES%20WISDOM-RULE/3.Hull%20Outfitting/F-41%20LIFE%20SAVING%20APPLIANCE/H4193%20EEBD%20FINAL_2022.11.09.pdf" TargetMode="External"/><Relationship Id="rId289" Type="http://schemas.openxmlformats.org/officeDocument/2006/relationships/hyperlink" Target="../MANUALS/2.%20IRENES%20WISDOM/4.%20IRENES%20WISDOM-RULE/6.Machinery/M-39%20STERN%20TUBE%20SEAL%26BEARINGS/INSTRUCTION%20MANUAL%20for%20STERN%20TUBE%20SEAL(2022.04).pdf" TargetMode="External"/><Relationship Id="rId454" Type="http://schemas.openxmlformats.org/officeDocument/2006/relationships/hyperlink" Target="../MANUALS/2.%20IRENES%20WISDOM/4.%20IRENES%20WISDOM-RULE/7.Electric/E-53,58%20ER%20ALARM%20%26%20MONITORING%20SYS/20230117%20HMD%20H4193%20Final%20drawing.pdf" TargetMode="External"/><Relationship Id="rId496" Type="http://schemas.openxmlformats.org/officeDocument/2006/relationships/hyperlink" Target="../MANUALS/2.%20IRENES%20WISDOM/4.%20IRENES%20WISDOM-RULE/7.Electric/E-81%20INSTRUCTIOIN%20MANUAL%20FOR%20MAIN%20%26%20EM%27CY%20SWITCHBOARD%20%26%20STARTER/6.GROUP%20ANNUNCIATOR.pdf" TargetMode="External"/><Relationship Id="rId1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&amp;View=%7BB2C268B8%2DAED3%2D4876%2D837F%2DD0E595242160%7D" TargetMode="External"/><Relationship Id="rId53" Type="http://schemas.openxmlformats.org/officeDocument/2006/relationships/hyperlink" Target="../MANUALS/2.%20IRENES%20WISDOM/4.%20IRENES%20WISDOM-RULE/2.Hull/H-26_PAINTING%20SPECIFICATION.pdf" TargetMode="External"/><Relationship Id="rId149" Type="http://schemas.openxmlformats.org/officeDocument/2006/relationships/hyperlink" Target="../MANUALS/2.%20IRENES%20WISDOM/4.%20IRENES%20WISDOM-RULE/4.Accommodation/A-8_MAIN%20STAIRWAY%20IN%20ACCOM.pdf" TargetMode="External"/><Relationship Id="rId314" Type="http://schemas.openxmlformats.org/officeDocument/2006/relationships/hyperlink" Target="../MANUALS/2.%20IRENES%20WISDOM/4.%20IRENES%20WISDOM-RULE/6.Machinery/M-44,45%20ER%20CENTRIFUGAL%20PUMP/INSTRUCTION%20MANUAL%20(nash%20type%20vacuum%20pumps)%20.pdf" TargetMode="External"/><Relationship Id="rId356" Type="http://schemas.openxmlformats.org/officeDocument/2006/relationships/hyperlink" Target="../MANUALS/2.%20IRENES%20WISDOM/4.%20IRENES%20WISDOM-RULE/7.Electric/E-17_G_A%20OF%20ELEC.%20EQUIP.%20IN%20CARGO%20HOLD.pdf" TargetMode="External"/><Relationship Id="rId398" Type="http://schemas.openxmlformats.org/officeDocument/2006/relationships/hyperlink" Target="../MANUALS/2.%20IRENES%20WISDOM/4.%20IRENES%20WISDOM-RULE/7.Electric/E-68%20BATTERY%20CHARGER%20AND%20DIST.%20BOARD.PDF" TargetMode="External"/><Relationship Id="rId521" Type="http://schemas.openxmlformats.org/officeDocument/2006/relationships/hyperlink" Target="https://dasoulutions.sharepoint.com/:x:/s/ANCHOOREDDATASOLUTIONS/IQCRGUu9hmwGQbaZ53zBoe0yAZAykPFmbCzA0Fbx20FXtmU?e=MT5GXg" TargetMode="External"/><Relationship Id="rId563" Type="http://schemas.openxmlformats.org/officeDocument/2006/relationships/hyperlink" Target="https://dasoulutions.sharepoint.com/:x:/s/ANCHOOREDDATASOLUTIONS/IQAgggiqs48ARIfhSRhZYs0HAcRBuqKb1HVEdTLJ84aRstE?e=2uAALs" TargetMode="External"/><Relationship Id="rId95" Type="http://schemas.openxmlformats.org/officeDocument/2006/relationships/hyperlink" Target="../MANUALS/2.%20IRENES%20WISDOM/4.%20IRENES%20WISDOM-RULE/3.Hull%20Outfitting/F-4_CONTAINER%20LOADING%20PLAN.pdf" TargetMode="External"/><Relationship Id="rId160" Type="http://schemas.openxmlformats.org/officeDocument/2006/relationships/hyperlink" Target="../MANUALS/2.%20IRENES%20WISDOM/4.%20IRENES%20WISDOM-RULE/5.Hull%20Piping/P-10_PIPING%20ARR%27T%20OF%20FORE%20SHIP(INCL.%20BOW%20THRUSTER%20ROOM).pdf" TargetMode="External"/><Relationship Id="rId21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2%20BALLAST%20WATER%20TREATMENT%20PLANT&amp;View=%7BB2C268B8%2DAED3%2D4876%2D837F%2DD0E595242160%7D" TargetMode="External"/><Relationship Id="rId423" Type="http://schemas.openxmlformats.org/officeDocument/2006/relationships/hyperlink" Target="../MANUALS/2.%20IRENES%20WISDOM/4.%20IRENES%20WISDOM-RULE/7.Electric/E-33,34,35,36,39,40,44,45,62,63%20JRC/2DJ-3533_CONNING_JAN-7202_9202(E)7ZPNA4452L_V13_INSTR(Conning)%202010902.pdf" TargetMode="External"/><Relationship Id="rId258" Type="http://schemas.openxmlformats.org/officeDocument/2006/relationships/hyperlink" Target="../MANUALS/2.%20IRENES%20WISDOM/4.%20IRENES%20WISDOM-RULE/6.Machinery/M-29,30%20PRESSURE%20CONTROL%20VALVE/MANUAL/BPCON%20CONTROLLER%20MANUAL.pdf" TargetMode="External"/><Relationship Id="rId465" Type="http://schemas.openxmlformats.org/officeDocument/2006/relationships/hyperlink" Target="../MANUALS/2.%20IRENES%20WISDOM/4.%20IRENES%20WISDOM-RULE/7.Electric/E-77%20DIESEL%20GENERATOR/OPERATING%20MANUAL_SYNCHRONOUS%20GENERATOR_HE%20(HSJ%207TYPE).pdf" TargetMode="External"/><Relationship Id="rId22" Type="http://schemas.openxmlformats.org/officeDocument/2006/relationships/hyperlink" Target="../MANUALS/2.%20IRENES%20WISDOM/4.%20IRENES%20WISDOM-RULE/1.Basic/B-19_RESULT%20OF%20INCLINING%20EXPERI.%20%26%20DWT.%20MEASURE..pdf" TargetMode="External"/><Relationship Id="rId64" Type="http://schemas.openxmlformats.org/officeDocument/2006/relationships/hyperlink" Target="../MANUALS/2.%20IRENES%20WISDOM/4.%20IRENES%20WISDOM-RULE/3.Hull%20Outfitting/F-10_ARRG%27T%20OF%20LIFE%20BOAT%20HANDLING.PDF" TargetMode="External"/><Relationship Id="rId118" Type="http://schemas.openxmlformats.org/officeDocument/2006/relationships/hyperlink" Target="../MANUALS/2.%20IRENES%20WISDOM/4.%20IRENES%20WISDOM-RULE/4.Accommodation/A-15_ARRG%27T%20OF%20RADAR%20MAST.pdf" TargetMode="External"/><Relationship Id="rId325" Type="http://schemas.openxmlformats.org/officeDocument/2006/relationships/hyperlink" Target="../MANUALS/2.%20IRENES%20WISDOM/4.%20IRENES%20WISDOM-RULE/6.Machinery/M-46%20PURIFIER/8.%20Spare%20parts%20catalog%20for%20OSF12-91.pdf" TargetMode="External"/><Relationship Id="rId367" Type="http://schemas.openxmlformats.org/officeDocument/2006/relationships/hyperlink" Target="../MANUALS/2.%20IRENES%20WISDOM/4.%20IRENES%20WISDOM-RULE/7.Electric/E-27_INSTALLATION%20STANDARD%20OF%20E_EQUIP.%20%26%20CABLE%20WAY.pdf" TargetMode="External"/><Relationship Id="rId532" Type="http://schemas.openxmlformats.org/officeDocument/2006/relationships/hyperlink" Target="https://dasoulutions.sharepoint.com/:x:/s/ANCHOOREDDATASOLUTIONS/IQCqkyUgq-ShT70MOfY7Jc-ZAUXXhtD4y248hDaAx6rAPpU?e=1xSxkB" TargetMode="External"/><Relationship Id="rId574" Type="http://schemas.openxmlformats.org/officeDocument/2006/relationships/hyperlink" Target="https://dasoulutions.sharepoint.com/:x:/r/sites/ANCHOOREDDATASOLUTIONS/_layouts/15/Doc.aspx?sourcedoc=%7BD99DA324-947D-4649-A1FC-2BF1D70732C3%7D&amp;file=SARANYA_3-1.%20Installation%20and%20maintenance%20for%20LSAM%2046.3.pdf.xlsx&amp;action=default&amp;mobileredirect=true" TargetMode="External"/><Relationship Id="rId171" Type="http://schemas.openxmlformats.org/officeDocument/2006/relationships/hyperlink" Target="../MANUALS/2.%20IRENES%20WISDOM/4.%20IRENES%20WISDOM-RULE/5.Hull%20Piping/P-20%20LOOSE%20FIRE%20FIGHTING%20APPLIANCE.pdf" TargetMode="External"/><Relationship Id="rId22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2%20F%2EO%20SUPPLY%20UNIT%20FOR%20ME%20%26%20GE&amp;View=%7BB2C268B8%2DAED3%2D4876%2D837F%2DD0E595242160%7D" TargetMode="External"/><Relationship Id="rId26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4%20MAIN%20ENGINE%2F1%2FMANUAL&amp;View=%7BB2C268B8%2DAED3%2D4876%2D837F%2DD0E595242160%7D" TargetMode="External"/><Relationship Id="rId434" Type="http://schemas.openxmlformats.org/officeDocument/2006/relationships/hyperlink" Target="../MANUALS/2.%20IRENES%20WISDOM/4.%20IRENES%20WISDOM-RULE/7.Electric/E-33,34,35,36,39,40,44,45,62,63%20JRC/2DJ-3533_INM-C_JUE-87(E)7ZPSC0444A(V8)%20INSTRUCTION%20MANUAL%20220106.pdf" TargetMode="External"/><Relationship Id="rId476" Type="http://schemas.openxmlformats.org/officeDocument/2006/relationships/hyperlink" Target="../MANUALS/2.%20IRENES%20WISDOM/4.%20IRENES%20WISDOM-RULE/7.Electric/E-78%20EM%27CY%20DIESEL%20GENERATOR%20SET/2.%20Engine/2-2.%20AD086TI%20Part%20Book.pdf" TargetMode="External"/><Relationship Id="rId33" Type="http://schemas.openxmlformats.org/officeDocument/2006/relationships/hyperlink" Target="../MANUALS/2.%20IRENES%20WISDOM/4.%20IRENES%20WISDOM-RULE/1.Basic/B-8_FREEBOARD%20MARK%20PLAN.pdf" TargetMode="External"/><Relationship Id="rId129" Type="http://schemas.openxmlformats.org/officeDocument/2006/relationships/hyperlink" Target="../MANUALS/2.%20IRENES%20WISDOM/4.%20IRENES%20WISDOM-RULE/4.Accommodation/A-25%20GALLEY%20%26%20LAUNDRY%20EQUIPMENT.pdf" TargetMode="External"/><Relationship Id="rId280" Type="http://schemas.openxmlformats.org/officeDocument/2006/relationships/hyperlink" Target="../MANUALS/2.%20IRENES%20WISDOM/4.%20IRENES%20WISDOM-RULE/6.Machinery/M-34%20MAIN%20ENGINE/2/data/Manual%20for%20ME%20HP%20SCR.pdf" TargetMode="External"/><Relationship Id="rId336" Type="http://schemas.openxmlformats.org/officeDocument/2006/relationships/hyperlink" Target="../MANUALS/2.%20IRENES%20WISDOM/4.%20IRENES%20WISDOM-RULE/6.Machinery/M-48%20AIR%20COMPRESSOR/2/MICOM.pdf" TargetMode="External"/><Relationship Id="rId501" Type="http://schemas.openxmlformats.org/officeDocument/2006/relationships/hyperlink" Target="https://dasoulutions.sharepoint.com/:b:/s/ANCHOOREDDATASOLUTIONS/IQCtHmwq92vCQLF4xqngcXTuAaN7a00-dwibPwuaOxWCw50?e=zX9EbT" TargetMode="External"/><Relationship Id="rId543" Type="http://schemas.openxmlformats.org/officeDocument/2006/relationships/hyperlink" Target="https://dasoulutions.sharepoint.com/:x:/s/ANCHOOREDDATASOLUTIONS/IQDI6jDAUMYKRIZl8XlHG1a2Ab_BFdExM697glaZ-CovrAg?e=fRoxGk" TargetMode="External"/><Relationship Id="rId75" Type="http://schemas.openxmlformats.org/officeDocument/2006/relationships/hyperlink" Target="../MANUALS/2.%20IRENES%20WISDOM/4.%20IRENES%20WISDOM-RULE/3.Hull%20Outfitting/F-20_STANDARD%20OF%20HULL%20OUTFITTINGS(ANCHOR_MOORING%20SYS).pdf" TargetMode="External"/><Relationship Id="rId140" Type="http://schemas.openxmlformats.org/officeDocument/2006/relationships/hyperlink" Target="../MANUALS/2.%20IRENES%20WISDOM/4.%20IRENES%20WISDOM-RULE/4.Accommodation/A-35_STANDARD%20PRACTICE(HULL%20STRUCTURE)%20IN%20ACCOM..pdf" TargetMode="External"/><Relationship Id="rId182" Type="http://schemas.openxmlformats.org/officeDocument/2006/relationships/hyperlink" Target="../MANUALS/2.%20IRENES%20WISDOM/4.%20IRENES%20WISDOM-RULE/5.Hull%20Piping/P-18%20EMERGENCY%20FIRE%20PUMP/H4193%20FINISHED%20DWG(220914).pdf" TargetMode="External"/><Relationship Id="rId378" Type="http://schemas.openxmlformats.org/officeDocument/2006/relationships/hyperlink" Target="../MANUALS/2.%20IRENES%20WISDOM/4.%20IRENES%20WISDOM-RULE/7.Electric/E-41%20RUDDER%20ANGLE%20INDICATOR.pdf" TargetMode="External"/><Relationship Id="rId403" Type="http://schemas.openxmlformats.org/officeDocument/2006/relationships/hyperlink" Target="../MANUALS/2.%20IRENES%20WISDOM/4.%20IRENES%20WISDOM-RULE/7.Electric/E-72%20TEST%20PANEL.pdf" TargetMode="External"/><Relationship Id="rId585" Type="http://schemas.microsoft.com/office/2019/04/relationships/namedSheetView" Target="../namedSheetViews/namedSheetView1.xml"/><Relationship Id="rId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3%2EHull%20Outfitting&amp;View=%7BB2C268B8%2DAED3%2D4876%2D837F%2DD0E595242160%7D" TargetMode="External"/><Relationship Id="rId23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53%20M%2EG%2EP%2ES&amp;View=%7BB2C268B8%2DAED3%2D4876%2D837F%2DD0E595242160%7D" TargetMode="External"/><Relationship Id="rId445" Type="http://schemas.openxmlformats.org/officeDocument/2006/relationships/hyperlink" Target="../MANUALS/2.%20IRENES%20WISDOM/4.%20IRENES%20WISDOM-RULE/7.Electric/E-33,34,35,36,39,40,44,45,62,63%20JRC/2DJ-3533_SPEED%20LOG_JLN-740_741(E)7ZPNA3208(V3)%20INSTRUCTION%20MANUAL%20191009.pdf" TargetMode="External"/><Relationship Id="rId487" Type="http://schemas.openxmlformats.org/officeDocument/2006/relationships/hyperlink" Target="../MANUALS/2.%20IRENES%20WISDOM/4.%20IRENES%20WISDOM-RULE/7.Electric/E-81%20INSTRUCTIOIN%20MANUAL%20FOR%20MAIN%20%26%20EM%27CY%20SWITCHBOARD%20%26%20STARTER/1-1.INSTRUCTION%20MANUAL%20FOR%20SWBD.pdf" TargetMode="External"/><Relationship Id="rId29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0%20SHAFT%20EARTHING%20DEVICE%2Fsed&amp;View=%7BB2C268B8%2DAED3%2D4876%2D837F%2DD0E595242160%7D" TargetMode="External"/><Relationship Id="rId305" Type="http://schemas.openxmlformats.org/officeDocument/2006/relationships/hyperlink" Target="../MANUALS/2.%20IRENES%20WISDOM/4.%20IRENES%20WISDOM-RULE/6.Machinery/M-41%20DIESEL%20GENERATOR%20ENGINE/2/data/Vol.%202.pdf" TargetMode="External"/><Relationship Id="rId347" Type="http://schemas.openxmlformats.org/officeDocument/2006/relationships/hyperlink" Target="../MANUALS/2.%20IRENES%20WISDOM/4.%20IRENES%20WISDOM-RULE/6.Machinery/M-64_DOCUMENTATION%20FOR%20ENVIRONMENTAL%20CLASS%20NOTATION/Letter%20(T2346545)_135925657.pdf" TargetMode="External"/><Relationship Id="rId512" Type="http://schemas.openxmlformats.org/officeDocument/2006/relationships/hyperlink" Target="../MANUALS/2.%20IRENES%20WISDOM/4.%20IRENES%20WISDOM-RULE/5.Hull%20Piping/P-18%20EMERGENCY%20FIRE%20PUMP/INSTRUCTION%20MANUAL%20(three%20rotor%20screw%20pumps%20_MST)%20.pdf" TargetMode="External"/><Relationship Id="rId44" Type="http://schemas.openxmlformats.org/officeDocument/2006/relationships/hyperlink" Target="../MANUALS/2.%20IRENES%20WISDOM/4.%20IRENES%20WISDOM-RULE/2.Hull/H-18_CARGO%20HOLD%20CONST.pdf" TargetMode="External"/><Relationship Id="rId86" Type="http://schemas.openxmlformats.org/officeDocument/2006/relationships/hyperlink" Target="../MANUALS/2.%20IRENES%20WISDOM/4.%20IRENES%20WISDOM-RULE/3.Hull%20Outfitting/F-31%20F.O%20HOSE%20DAVIT.pdf" TargetMode="External"/><Relationship Id="rId151" Type="http://schemas.openxmlformats.org/officeDocument/2006/relationships/hyperlink" Target="../MANUALS/2.%20IRENES%20WISDOM/4.%20IRENES%20WISDOM-RULE/4.Accommodation/A-1_ACCOMMODATION%20PLAN/A-1-1_ACCOMMODATION%20PLAN%20ON%20UPP.%20DECK.pdf" TargetMode="External"/><Relationship Id="rId389" Type="http://schemas.openxmlformats.org/officeDocument/2006/relationships/hyperlink" Target="../MANUALS/2.%20IRENES%20WISDOM/4.%20IRENES%20WISDOM-RULE/7.Electric/E-55%20BRIDGE%20WATCH%20ALARM%20SYSTEM.pdf" TargetMode="External"/><Relationship Id="rId554" Type="http://schemas.openxmlformats.org/officeDocument/2006/relationships/hyperlink" Target="https://dasoulutions.sharepoint.com/:x:/s/ANCHOOREDDATASOLUTIONS/IQDCaYOXcNuiRaz2GbjyTtZaAW7UsaqfxyMS4WZX5THYY4Y?e=w0aLZu" TargetMode="External"/><Relationship Id="rId193" Type="http://schemas.openxmlformats.org/officeDocument/2006/relationships/hyperlink" Target="../MANUALS/2.%20IRENES%20WISDOM/4.%20IRENES%20WISDOM-RULE/6.Machinery/M-10_ARRG%27T%20%26%20DETAIL%20OF%20SHAFT%20WITHDRAWAL.pdf" TargetMode="External"/><Relationship Id="rId207" Type="http://schemas.openxmlformats.org/officeDocument/2006/relationships/hyperlink" Target="../MANUALS/2.%20IRENES%20WISDOM/4.%20IRENES%20WISDOM-RULE/6.Machinery/M-23_STANDARD%20PRACTICE%20IN%20E_ROOM.pdf" TargetMode="External"/><Relationship Id="rId249" Type="http://schemas.openxmlformats.org/officeDocument/2006/relationships/hyperlink" Target="../MANUALS/2.%20IRENES%20WISDOM/4.%20IRENES%20WISDOM-RULE/6.Machinery/M-63_VALVE%20LIST%20IN%20E_R.pdf" TargetMode="External"/><Relationship Id="rId414" Type="http://schemas.openxmlformats.org/officeDocument/2006/relationships/hyperlink" Target="../MANUALS/2.%20IRENES%20WISDOM/4.%20IRENES%20WISDOM-RULE/7.Electric/E-9_CONNECTION%20DIAGRAM%20FOR%20CONTROL%20%26%20INSTRUMENT.pdf" TargetMode="External"/><Relationship Id="rId456" Type="http://schemas.openxmlformats.org/officeDocument/2006/relationships/hyperlink" Target="../MANUALS/2.%20IRENES%20WISDOM/4.%20IRENES%20WISDOM-RULE/7.Electric/E-53,58%20ER%20ALARM%20%26%20MONITORING%20SYS/Manuals/K-Chief%20600%20Maintenance%20Manual%20442914B.pdf" TargetMode="External"/><Relationship Id="rId498" Type="http://schemas.openxmlformats.org/officeDocument/2006/relationships/hyperlink" Target="../MANUALS/2.%20IRENES%20WISDOM/4.%20IRENES%20WISDOM-RULE/7.Electric/E-81%20INSTRUCTIOIN%20MANUAL%20FOR%20MAIN%20%26%20EM%27CY%20SWITCHBOARD%20%26%20STARTER/8.MOTOR%20CONTROLLER.pdf" TargetMode="External"/><Relationship Id="rId13" Type="http://schemas.openxmlformats.org/officeDocument/2006/relationships/hyperlink" Target="../MANUALS/2.%20IRENES%20WISDOM/4.%20IRENES%20WISDOM-RULE/1.Basic/B-10_BALLAST%20WATER%20MANAGEMENT%20PLAN.pdf" TargetMode="External"/><Relationship Id="rId109" Type="http://schemas.openxmlformats.org/officeDocument/2006/relationships/hyperlink" Target="../MANUALS/2.%20IRENES%20WISDOM/4.%20IRENES%20WISDOM-RULE/3.Hull%20Outfitting/F-41%20LIFE%20SAVING%20APPLIANCE/H4193%20PPE%20FINAL_2022.12.19.pdf" TargetMode="External"/><Relationship Id="rId260" Type="http://schemas.openxmlformats.org/officeDocument/2006/relationships/hyperlink" Target="../MANUALS/2.%20IRENES%20WISDOM/4.%20IRENES%20WISDOM-RULE/6.Machinery/M-29,30%20PRESSURE%20CONTROL%20VALVE/MANUAL/EPCON%20Manual.pdf" TargetMode="External"/><Relationship Id="rId316" Type="http://schemas.openxmlformats.org/officeDocument/2006/relationships/hyperlink" Target="../MANUALS/2.%20IRENES%20WISDOM/4.%20IRENES%20WISDOM-RULE/6.Machinery/M-44,45%20ER%20CENTRIFUGAL%20PUMP/INSTRUCTION%20MANUAL%20(three%20rotor%20screw%20pumps%20_MSDK-M,HM)%20.pdf" TargetMode="External"/><Relationship Id="rId523" Type="http://schemas.openxmlformats.org/officeDocument/2006/relationships/hyperlink" Target="https://dasoulutions.sharepoint.com/:x:/s/ANCHOOREDDATASOLUTIONS/IQAEZddhvKhQTaeduYCc1b03AdA9sb7UcRmEF3b3tSUzTX0?e=NNoq8v" TargetMode="External"/><Relationship Id="rId55" Type="http://schemas.openxmlformats.org/officeDocument/2006/relationships/hyperlink" Target="../MANUALS/2.%20IRENES%20WISDOM/4.%20IRENES%20WISDOM-RULE/2.Hull/H-3_SHELL%20EXPANSION.pdf" TargetMode="External"/><Relationship Id="rId9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3%2EHull%20Outfitting%2FF%2D41%20LIFE%20SAVING%20APPLIANCE&amp;View=%7BB2C268B8%2DAED3%2D4876%2D837F%2DD0E595242160%7D" TargetMode="External"/><Relationship Id="rId120" Type="http://schemas.openxmlformats.org/officeDocument/2006/relationships/hyperlink" Target="../MANUALS/2.%20IRENES%20WISDOM/4.%20IRENES%20WISDOM-RULE/4.Accommodation/A-17_ARRG%27T%20OF%20CO2%20ROOM.pdf" TargetMode="External"/><Relationship Id="rId358" Type="http://schemas.openxmlformats.org/officeDocument/2006/relationships/hyperlink" Target="../MANUALS/2.%20IRENES%20WISDOM/4.%20IRENES%20WISDOM-RULE/7.Electric/E-19_G_A%20OF%20ELEC.%20EQUIP.%20IN%20ACCOMMODATION.pdf" TargetMode="External"/><Relationship Id="rId565" Type="http://schemas.openxmlformats.org/officeDocument/2006/relationships/hyperlink" Target="https://dasoulutions.sharepoint.com/:x:/s/ANCHOOREDDATASOLUTIONS/IQAriGGauuVJQoFHLjRyv1EqAVp-bbLV5HKak87tHCNXC0Y?e=arQ6hs" TargetMode="External"/><Relationship Id="rId162" Type="http://schemas.openxmlformats.org/officeDocument/2006/relationships/hyperlink" Target="../MANUALS/2.%20IRENES%20WISDOM/4.%20IRENES%20WISDOM-RULE/5.Hull%20Piping/P-12_HYD.OIL%20FLUSHING%20PROCEDURE(PIPING%20PART).pdf" TargetMode="External"/><Relationship Id="rId21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4%20MAIN%20ENGINE&amp;View=%7BB2C268B8%2DAED3%2D4876%2D837F%2DD0E595242160%7D" TargetMode="External"/><Relationship Id="rId425" Type="http://schemas.openxmlformats.org/officeDocument/2006/relationships/hyperlink" Target="../MANUALS/2.%20IRENES%20WISDOM/4.%20IRENES%20WISDOM-RULE/7.Electric/E-33,34,35,36,39,40,44,45,62,63%20JRC/2DJ-3533_ECDIS_JAN-7200_9200s(E)7ZPNA4579G(V8)%20INSTR_FUNC2%20220627.pdf" TargetMode="External"/><Relationship Id="rId46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8%20EM%27CY%20DIESEL%20GENERATOR%20SET%2F2%2E%20Engine&amp;View=%7BB2C268B8%2DAED3%2D4876%2D837F%2DD0E595242160%7D" TargetMode="External"/><Relationship Id="rId271" Type="http://schemas.openxmlformats.org/officeDocument/2006/relationships/hyperlink" Target="../MANUALS/2.%20IRENES%20WISDOM/4.%20IRENES%20WISDOM-RULE/6.Machinery/M-34%20MAIN%20ENGINE/1/MANUAL/B.M.S.pdf" TargetMode="External"/><Relationship Id="rId24" Type="http://schemas.openxmlformats.org/officeDocument/2006/relationships/hyperlink" Target="../MANUALS/2.%20IRENES%20WISDOM/4.%20IRENES%20WISDOM-RULE/1.Basic/B-20_RESULT%20OF%20SEA%20TRIAL.pdf" TargetMode="External"/><Relationship Id="rId66" Type="http://schemas.openxmlformats.org/officeDocument/2006/relationships/hyperlink" Target="../MANUALS/2.%20IRENES%20WISDOM/4.%20IRENES%20WISDOM-RULE/3.Hull%20Outfitting/F-12_ARRG%27T%20OF%20HULL-OUTFITTINGS%20IN%20CARGO%20HOLD.pdf" TargetMode="External"/><Relationship Id="rId131" Type="http://schemas.openxmlformats.org/officeDocument/2006/relationships/hyperlink" Target="../MANUALS/2.%20IRENES%20WISDOM/4.%20IRENES%20WISDOM-RULE/4.Accommodation/A-27%20VACUUM%20TOILET.pdf" TargetMode="External"/><Relationship Id="rId327" Type="http://schemas.openxmlformats.org/officeDocument/2006/relationships/hyperlink" Target="../MANUALS/2.%20IRENES%20WISDOM/4.%20IRENES%20WISDOM-RULE/6.Machinery/M-47%20OILY%20BILGE%20SEPARATOR/1.%20HMD%204193%20FINAL%20DWG%20(OBS).pdf" TargetMode="External"/><Relationship Id="rId369" Type="http://schemas.openxmlformats.org/officeDocument/2006/relationships/hyperlink" Target="../MANUALS/2.%20IRENES%20WISDOM/4.%20IRENES%20WISDOM-RULE/7.Electric/E-29%20STARTER%20FOR%20BOW%20THRUSTER.PDF" TargetMode="External"/><Relationship Id="rId534" Type="http://schemas.openxmlformats.org/officeDocument/2006/relationships/hyperlink" Target="https://dasoulutions.sharepoint.com/:x:/s/ANCHOOREDDATASOLUTIONS/IQC7YqKQut2RRYS92y0joIp8AWe-sB9oXAS5GVgdN-gmm38?e=eUfBrI" TargetMode="External"/><Relationship Id="rId576" Type="http://schemas.openxmlformats.org/officeDocument/2006/relationships/hyperlink" Target="https://dasoulutions.sharepoint.com/:x:/r/sites/ANCHOOREDDATASOLUTIONS/_layouts/15/Doc.aspx?sourcedoc=%7BDAA9F89C-49EC-44E6-BA53-76056646D597%7D&amp;file=SARANYA_4.%20Spring%20Starter.pdf.xlsx&amp;action=default&amp;mobileredirect=true" TargetMode="External"/><Relationship Id="rId173" Type="http://schemas.openxmlformats.org/officeDocument/2006/relationships/hyperlink" Target="../MANUALS/2.%20IRENES%20WISDOM/4.%20IRENES%20WISDOM-RULE/5.Hull%20Piping/P-22%20ELEC.%20PNEUMATIC%20TYPE%20TANK%20LEVEL%20GAUGE.pdf" TargetMode="External"/><Relationship Id="rId22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4%2C45%20ER%20CENTRIFUGAL%20PUMP&amp;View=%7BB2C268B8%2DAED3%2D4876%2D837F%2DD0E595242160%7D" TargetMode="External"/><Relationship Id="rId380" Type="http://schemas.openxmlformats.org/officeDocument/2006/relationships/hyperlink" Target="../MANUALS/2.%20IRENES%20WISDOM/4.%20IRENES%20WISDOM-RULE/7.Electric/E-46%20WHEEL%20HOUSE%20GAUGE%20BOARD.pdf" TargetMode="External"/><Relationship Id="rId436" Type="http://schemas.openxmlformats.org/officeDocument/2006/relationships/hyperlink" Target="../MANUALS/2.%20IRENES%20WISDOM/4.%20IRENES%20WISDOM-RULE/7.Electric/E-33,34,35,36,39,40,44,45,62,63%20JRC/2DJ-3533_MFHF_AT100DS-H(E)7ZPJD0694%20(V1)%20INSTALLATION%20160627.pdf" TargetMode="External"/><Relationship Id="rId240" Type="http://schemas.openxmlformats.org/officeDocument/2006/relationships/hyperlink" Target="../MANUALS/2.%20IRENES%20WISDOM/4.%20IRENES%20WISDOM-RULE/6.Machinery/M-55%20S%20%26%20T%20TYPE%20HEAT%20EXCHANGER.pdf" TargetMode="External"/><Relationship Id="rId478" Type="http://schemas.openxmlformats.org/officeDocument/2006/relationships/hyperlink" Target="../MANUALS/2.%20IRENES%20WISDOM/4.%20IRENES%20WISDOM-RULE/7.Electric/E-78%20EM%27CY%20DIESEL%20GENERATOR%20SET/3.%20Alternator/3-2.%20AVR%20(D350).pdf" TargetMode="External"/><Relationship Id="rId35" Type="http://schemas.openxmlformats.org/officeDocument/2006/relationships/hyperlink" Target="../MANUALS/2.%20IRENES%20WISDOM/4.%20IRENES%20WISDOM-RULE/2.Hull/H-1_MIDSHIP%20SECTION.pdf" TargetMode="External"/><Relationship Id="rId77" Type="http://schemas.openxmlformats.org/officeDocument/2006/relationships/hyperlink" Target="../MANUALS/2.%20IRENES%20WISDOM/4.%20IRENES%20WISDOM-RULE/3.Hull%20Outfitting/F-22_STANDARD%20OF%20HULL%20OUTFITTINGS(MISCELLANEOUS%20ITEM).pdf" TargetMode="External"/><Relationship Id="rId100" Type="http://schemas.openxmlformats.org/officeDocument/2006/relationships/hyperlink" Target="../MANUALS/2.%20IRENES%20WISDOM/4.%20IRENES%20WISDOM-RULE/3.Hull%20Outfitting/F-6_ARRG%27T%20%26%20DET.%20CONTAINER%20FIXED%20FITTINGS.pdf" TargetMode="External"/><Relationship Id="rId282" Type="http://schemas.openxmlformats.org/officeDocument/2006/relationships/hyperlink" Target="../MANUALS/2.%20IRENES%20WISDOM/4.%20IRENES%20WISDOM-RULE/6.Machinery/M-36%20HYD.%20COUPLING%20BOLTNUT/14715.pdf" TargetMode="External"/><Relationship Id="rId338" Type="http://schemas.openxmlformats.org/officeDocument/2006/relationships/hyperlink" Target="../MANUALS/2.%20IRENES%20WISDOM/4.%20IRENES%20WISDOM-RULE/6.Machinery/M-53%20M.G.P.S/4193,194,%204232~235%20MGPS%20F.pdf" TargetMode="External"/><Relationship Id="rId503" Type="http://schemas.openxmlformats.org/officeDocument/2006/relationships/hyperlink" Target="../MANUALS/2.%20IRENES%20WISDOM/4.%20IRENES%20WISDOM-RULE/5.Hull%20Piping/P-18%20EMERGENCY%20FIRE%20PUMP/H4193%20FINISHED%20DWG(220914).pdf" TargetMode="External"/><Relationship Id="rId545" Type="http://schemas.openxmlformats.org/officeDocument/2006/relationships/hyperlink" Target="https://dasoulutions.sharepoint.com/:x:/s/ANCHOOREDDATASOLUTIONS/IQCowEQMfbnmToynU-wthoM4AdoBKyvEeMMhpyDkmfbt2XU?e=vvMZJT" TargetMode="External"/><Relationship Id="rId8" Type="http://schemas.openxmlformats.org/officeDocument/2006/relationships/hyperlink" Target="../MANUALS/2.%20IRENES%20WISDOM/4.%20IRENES%20WISDOM-RULE/4193%20FINAL%20LIST.pdf" TargetMode="External"/><Relationship Id="rId142" Type="http://schemas.openxmlformats.org/officeDocument/2006/relationships/hyperlink" Target="../MANUALS/2.%20IRENES%20WISDOM/4.%20IRENES%20WISDOM-RULE/4.Accommodation/A-37_STANDARD%20PRACTICE(OUTFITTING)%20IN%20ACCOM..pdf" TargetMode="External"/><Relationship Id="rId184" Type="http://schemas.openxmlformats.org/officeDocument/2006/relationships/hyperlink" Target="../MANUALS/2.%20IRENES%20WISDOM/4.%20IRENES%20WISDOM-RULE/5.Hull%20Piping/P-18%20EMERGENCY%20FIRE%20PUMP/H4193%20INSPECTION%20REPORT.PDF" TargetMode="External"/><Relationship Id="rId39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59%20INSTRUMENTS&amp;View=%7BB2C268B8%2DAED3%2D4876%2D837F%2DD0E595242160%7D" TargetMode="External"/><Relationship Id="rId405" Type="http://schemas.openxmlformats.org/officeDocument/2006/relationships/hyperlink" Target="../MANUALS/2.%20IRENES%20WISDOM/4.%20IRENES%20WISDOM-RULE/7.Electric/E-74%20ELECTRIC%20WELDER.pdf" TargetMode="External"/><Relationship Id="rId447" Type="http://schemas.openxmlformats.org/officeDocument/2006/relationships/hyperlink" Target="../MANUALS/2.%20IRENES%20WISDOM/4.%20IRENES%20WISDOM-RULE/7.Electric/E-33,34,35,36,39,40,44,45,62,63%20JRC/2DJ-3533_VDR_JCY-1900(E)7ZPNA4384G(V8)%20INSTRUCTION%20220802.pdf" TargetMode="External"/><Relationship Id="rId251" Type="http://schemas.openxmlformats.org/officeDocument/2006/relationships/hyperlink" Target="../MANUALS/2.%20IRENES%20WISDOM/4.%20IRENES%20WISDOM-RULE/6.Machinery/M-7_DETAIL%20OF%20MAIN%20ENGINE%20SEATING.pdf" TargetMode="External"/><Relationship Id="rId489" Type="http://schemas.openxmlformats.org/officeDocument/2006/relationships/hyperlink" Target="../MANUALS/2.%20IRENES%20WISDOM/4.%20IRENES%20WISDOM-RULE/7.Electric/E-81%20INSTRUCTIOIN%20MANUAL%20FOR%20MAIN%20%26%20EM%27CY%20SWITCHBOARD%20%26%20STARTER/1-2.INSTRUCTION%20MANUAL%20FOR%20STARTER.pdf" TargetMode="External"/><Relationship Id="rId46" Type="http://schemas.openxmlformats.org/officeDocument/2006/relationships/hyperlink" Target="../MANUALS/2.%20IRENES%20WISDOM/4.%20IRENES%20WISDOM-RULE/2.Hull/H-2_CONSTRUCTION%20PROFILE%20%26%20DECK%20PLAN%20.pdf" TargetMode="External"/><Relationship Id="rId293" Type="http://schemas.openxmlformats.org/officeDocument/2006/relationships/hyperlink" Target="../MANUALS/2.%20IRENES%20WISDOM/4.%20IRENES%20WISDOM-RULE/6.Machinery/M-40%20SHAFT%20EARTHING%20DEVICE/sed/AcroReader51_KOR.exe" TargetMode="External"/><Relationship Id="rId307" Type="http://schemas.openxmlformats.org/officeDocument/2006/relationships/hyperlink" Target="../MANUALS/2.%20IRENES%20WISDOM/4.%20IRENES%20WISDOM-RULE/6.Machinery/M-42%20F.O%20SUPPLY%20UNIT%20FOR%20ME%20%26%20GE/Instruction%20manual%20for%204193%20ME%20%26%20GE%20F.O%20Supply%20unit_220926.pdf" TargetMode="External"/><Relationship Id="rId349" Type="http://schemas.openxmlformats.org/officeDocument/2006/relationships/hyperlink" Target="../MANUALS/2.%20IRENES%20WISDOM/4.%20IRENES%20WISDOM-RULE/7.Electric/E-10_CONNECTION%20DIAGRAM%20OF%20FIRE%20DETECTION%20SYSTEM.pdf" TargetMode="External"/><Relationship Id="rId514" Type="http://schemas.openxmlformats.org/officeDocument/2006/relationships/hyperlink" Target="https://dasoulutions.sharepoint.com/:x:/s/ANCHOOREDDATASOLUTIONS/IQDO6V19NN_HTZUrfRBTyC27ATKJ2-r4Iypzwao1tTiCW9k?e=3sTvUT" TargetMode="External"/><Relationship Id="rId556" Type="http://schemas.openxmlformats.org/officeDocument/2006/relationships/hyperlink" Target="https://dasoulutions.sharepoint.com/:x:/s/ANCHOOREDDATASOLUTIONS/IQBjddCc3S7ERoPowvtoqao4ASqmeBHcduEMj7cv5z94jag?e=cJYvFU" TargetMode="External"/><Relationship Id="rId8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3%2EHull%20Outfitting%2FF%2D33%20CARGO%20HATCH%20COVER&amp;View=%7BB2C268B8%2DAED3%2D4876%2D837F%2DD0E595242160%7D" TargetMode="External"/><Relationship Id="rId111" Type="http://schemas.openxmlformats.org/officeDocument/2006/relationships/hyperlink" Target="../MANUALS/2.%20IRENES%20WISDOM/4.%20IRENES%20WISDOM-RULE/3.Hull%20Outfitting/F-42%20VENTILATION%20FAN/HI%20AIR%20Manual.pdf" TargetMode="External"/><Relationship Id="rId153" Type="http://schemas.openxmlformats.org/officeDocument/2006/relationships/hyperlink" Target="../MANUALS/2.%20IRENES%20WISDOM/4.%20IRENES%20WISDOM-RULE/4.Accommodation/A-1_ACCOMMODATION%20PLAN/A-1-3_ACCOMMODATION%20PLAN%20ON%20B%20DECK.pdf" TargetMode="External"/><Relationship Id="rId195" Type="http://schemas.openxmlformats.org/officeDocument/2006/relationships/hyperlink" Target="../MANUALS/2.%20IRENES%20WISDOM/4.%20IRENES%20WISDOM-RULE/6.Machinery/M-12_ARRG%27T%20%26%20DET.%20OF%20WORK%20SHOP%20%26%20STORE%20IN%20E_ROOM.pdf" TargetMode="External"/><Relationship Id="rId209" Type="http://schemas.openxmlformats.org/officeDocument/2006/relationships/hyperlink" Target="../MANUALS/2.%20IRENES%20WISDOM/4.%20IRENES%20WISDOM-RULE/6.Machinery/M-25_SPARE%20PART%20LIST%20IN%20E_ROOM.pdf" TargetMode="External"/><Relationship Id="rId360" Type="http://schemas.openxmlformats.org/officeDocument/2006/relationships/hyperlink" Target="../MANUALS/2.%20IRENES%20WISDOM/4.%20IRENES%20WISDOM-RULE/7.Electric/E-20_ARRG%27T%20OF%20ANTENNA%20EXTENSION.pdf" TargetMode="External"/><Relationship Id="rId416" Type="http://schemas.openxmlformats.org/officeDocument/2006/relationships/hyperlink" Target="../MANUALS/2.%20IRENES%20WISDOM/4.%20IRENES%20WISDOM-RULE/7.Electric/E-31%20MAGNETIC%20COMPASS/MC-18%20MANUAL%20%EC%98%81%EB%AC%B8%20(ver%203.0).pdf" TargetMode="External"/><Relationship Id="rId220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6%20HYD%2E%20COUPLING%20BOLTNUT&amp;View=%7BB2C268B8%2DAED3%2D4876%2D837F%2DD0E595242160%7D" TargetMode="External"/><Relationship Id="rId458" Type="http://schemas.openxmlformats.org/officeDocument/2006/relationships/hyperlink" Target="../MANUALS/2.%20IRENES%20WISDOM/4.%20IRENES%20WISDOM-RULE/7.Electric/E-54%20BRIDGE%20CONTROL%20CONSOLE/20220817%20HMD-H4193-94%20SPARE%20PART%20(FULL).pdf" TargetMode="External"/><Relationship Id="rId15" Type="http://schemas.openxmlformats.org/officeDocument/2006/relationships/hyperlink" Target="../MANUALS/2.%20IRENES%20WISDOM/4.%20IRENES%20WISDOM-RULE/1.Basic/B-12_FINAL%20TRIM%20%26%20STABILITY%20BOOKLET.pdf" TargetMode="External"/><Relationship Id="rId57" Type="http://schemas.openxmlformats.org/officeDocument/2006/relationships/hyperlink" Target="../MANUALS/2.%20IRENES%20WISDOM/4.%20IRENES%20WISDOM-RULE/2.Hull/H-5_ARRG%27T%20OF%20BTM%20PLUG%20%26%20BHD%20MARK.pdf" TargetMode="External"/><Relationship Id="rId262" Type="http://schemas.openxmlformats.org/officeDocument/2006/relationships/hyperlink" Target="../MANUALS/2.%20IRENES%20WISDOM/4.%20IRENES%20WISDOM-RULE/6.Machinery/M-29,30%20PRESSURE%20CONTROL%20VALVE/MANUAL/TC01,%20TC02,%20TC03%20Temp.%20Regulating%20Valve%20Manaul%202.pdf" TargetMode="External"/><Relationship Id="rId318" Type="http://schemas.openxmlformats.org/officeDocument/2006/relationships/hyperlink" Target="../MANUALS/2.%20IRENES%20WISDOM/4.%20IRENES%20WISDOM-RULE/6.Machinery/M-46%20PURIFIER/1.%20Final_Drawings.pdf" TargetMode="External"/><Relationship Id="rId525" Type="http://schemas.openxmlformats.org/officeDocument/2006/relationships/hyperlink" Target="https://dasoulutions.sharepoint.com/:x:/s/ANCHOOREDDATASOLUTIONS/IQDOhSxRTLdHRZIrbTgdUTofAV72fOumuvtg0Q0bQXE8guY?e=VQXa78" TargetMode="External"/><Relationship Id="rId567" Type="http://schemas.openxmlformats.org/officeDocument/2006/relationships/hyperlink" Target="https://dasoulutions.sharepoint.com/:x:/s/ANCHOOREDDATASOLUTIONS/IQBoeqL34c4zQ5G7z8ceSxIGAWu3pTw8MphxGcoV9MUh-Jo?e=LRRfmc" TargetMode="External"/><Relationship Id="rId99" Type="http://schemas.openxmlformats.org/officeDocument/2006/relationships/hyperlink" Target="../MANUALS/2.%20IRENES%20WISDOM/4.%20IRENES%20WISDOM-RULE/3.Hull%20Outfitting/F-5_MARKING%20FOR%20CONTAINER%20SYSTEM.pdf" TargetMode="External"/><Relationship Id="rId122" Type="http://schemas.openxmlformats.org/officeDocument/2006/relationships/hyperlink" Target="../MANUALS/2.%20IRENES%20WISDOM/4.%20IRENES%20WISDOM-RULE/4.Accommodation/A-19%20DOOR.pdf" TargetMode="External"/><Relationship Id="rId164" Type="http://schemas.openxmlformats.org/officeDocument/2006/relationships/hyperlink" Target="../MANUALS/2.%20IRENES%20WISDOM/4.%20IRENES%20WISDOM-RULE/5.Hull%20Piping/P-14_FIRE%20TRAINING%20AND%20OPERATION%20MANUAL.pdf" TargetMode="External"/><Relationship Id="rId371" Type="http://schemas.openxmlformats.org/officeDocument/2006/relationships/hyperlink" Target="../MANUALS/2.%20IRENES%20WISDOM/4.%20IRENES%20WISDOM-RULE/7.Electric/E-30%20ELECTRIC%20MOTOR(FOR%20BOW%20THRUSTER).pdf" TargetMode="External"/><Relationship Id="rId427" Type="http://schemas.openxmlformats.org/officeDocument/2006/relationships/hyperlink" Target="../MANUALS/2.%20IRENES%20WISDOM/4.%20IRENES%20WISDOM-RULE/7.Electric/E-33,34,35,36,39,40,44,45,62,63%20JRC/2DJ-3533_ECDIS_JAN-7201_9201(E)7ZPNA4449M_V14_INSTR(Basic%20Op)%20210901.pdf" TargetMode="External"/><Relationship Id="rId46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8%20EM%27CY%20DIESEL%20GENERATOR%20SET%2F4%2E%202nd%20Starter&amp;View=%7BB2C268B8%2DAED3%2D4876%2D837F%2DD0E595242160%7D" TargetMode="External"/><Relationship Id="rId26" Type="http://schemas.openxmlformats.org/officeDocument/2006/relationships/hyperlink" Target="../MANUALS/2.%20IRENES%20WISDOM/4.%20IRENES%20WISDOM-RULE/1.Basic/B-22_MANEUVERING%20BOOKLET.pdf" TargetMode="External"/><Relationship Id="rId23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7%20OILY%20BILGE%20SEPARATOR&amp;View=%7BB2C268B8%2DAED3%2D4876%2D837F%2DD0E595242160%7D" TargetMode="External"/><Relationship Id="rId273" Type="http://schemas.openxmlformats.org/officeDocument/2006/relationships/hyperlink" Target="../MANUALS/2.%20IRENES%20WISDOM/4.%20IRENES%20WISDOM-RULE/6.Machinery/M-34%20MAIN%20ENGINE/1/MANUAL/FITTING%20%26%20ACC.pdf" TargetMode="External"/><Relationship Id="rId329" Type="http://schemas.openxmlformats.org/officeDocument/2006/relationships/hyperlink" Target="../MANUALS/2.%20IRENES%20WISDOM/4.%20IRENES%20WISDOM-RULE/6.Machinery/M-47%20OILY%20BILGE%20SEPARATOR/3.%20OILY%20BILGE%20SEPARATOR%20INSTRUCTION%20MANUAL(10~100EB)_Rev.6.1%20(ENG).pdf" TargetMode="External"/><Relationship Id="rId480" Type="http://schemas.openxmlformats.org/officeDocument/2006/relationships/hyperlink" Target="../MANUALS/2.%20IRENES%20WISDOM/4.%20IRENES%20WISDOM-RULE/7.Electric/E-78%20EM%27CY%20DIESEL%20GENERATOR%20SET/5.%20Elec.%20Parts%20for%20GPC/5-1.%20ECP-21%20User%27s%20Manual%20-%20GPC.pdf" TargetMode="External"/><Relationship Id="rId536" Type="http://schemas.openxmlformats.org/officeDocument/2006/relationships/hyperlink" Target="https://dasoulutions.sharepoint.com/:x:/s/ANCHOOREDDATASOLUTIONS/IQAJc2B-95riT7uziu1a3rqYAb0Yu2Dmr2pUqbZeVDTNXe4?e=EFBOVW" TargetMode="External"/><Relationship Id="rId68" Type="http://schemas.openxmlformats.org/officeDocument/2006/relationships/hyperlink" Target="../MANUALS/2.%20IRENES%20WISDOM/4.%20IRENES%20WISDOM-RULE/3.Hull%20Outfitting/F-14_ARRG%27T%20OF%20CONTAINER%20STOOL%20ON%20DECK.pdf" TargetMode="External"/><Relationship Id="rId133" Type="http://schemas.openxmlformats.org/officeDocument/2006/relationships/hyperlink" Target="../MANUALS/2.%20IRENES%20WISDOM/4.%20IRENES%20WISDOM-RULE/4.Accommodation/A-29%20COLD%20PROVISION%20CHAMBER.pdf" TargetMode="External"/><Relationship Id="rId175" Type="http://schemas.openxmlformats.org/officeDocument/2006/relationships/hyperlink" Target="../MANUALS/2.%20IRENES%20WISDOM/4.%20IRENES%20WISDOM-RULE/5.Hull%20Piping/P-3_SAFETY%20PLAN.pdf" TargetMode="External"/><Relationship Id="rId340" Type="http://schemas.openxmlformats.org/officeDocument/2006/relationships/hyperlink" Target="../MANUALS/2.%20IRENES%20WISDOM/4.%20IRENES%20WISDOM-RULE/6.Machinery/M-53%20M.G.P.S/MGPS/AcroReader51_ENU.exe" TargetMode="External"/><Relationship Id="rId578" Type="http://schemas.openxmlformats.org/officeDocument/2006/relationships/hyperlink" Target="https://dasoulutions.sharepoint.com/:x:/s/ANCHOOREDDATASOLUTIONS/IQCYR9e98L73Qaho9yZCnFpOAb88gSH8uhnpllqcwfyEsqI?e=Qa4aC3" TargetMode="External"/><Relationship Id="rId200" Type="http://schemas.openxmlformats.org/officeDocument/2006/relationships/hyperlink" Target="../MANUALS/2.%20IRENES%20WISDOM/4.%20IRENES%20WISDOM-RULE/6.Machinery/M-17_ARRG%27T%20OF%20HULL%20TANK%20IN%20E_ROOM.pdf" TargetMode="External"/><Relationship Id="rId382" Type="http://schemas.openxmlformats.org/officeDocument/2006/relationships/hyperlink" Target="../MANUALS/2.%20IRENES%20WISDOM/4.%20IRENES%20WISDOM-RULE/7.Electric/E-48,49,57,64%20INTERCOMMUNICATION%20SYS.pdf" TargetMode="External"/><Relationship Id="rId438" Type="http://schemas.openxmlformats.org/officeDocument/2006/relationships/hyperlink" Target="../MANUALS/2.%20IRENES%20WISDOM/4.%20IRENES%20WISDOM-RULE/7.Electric/E-33,34,35,36,39,40,44,45,62,63%20JRC/2DJ-3533_NAVTEX_NCR-333(E)7ZPJD0304E(V1)%20INSTRUCTION%20200311.pdf" TargetMode="External"/><Relationship Id="rId242" Type="http://schemas.openxmlformats.org/officeDocument/2006/relationships/hyperlink" Target="../MANUALS/2.%20IRENES%20WISDOM/4.%20IRENES%20WISDOM-RULE/6.Machinery/M-57%20LATHE.pdf" TargetMode="External"/><Relationship Id="rId284" Type="http://schemas.openxmlformats.org/officeDocument/2006/relationships/hyperlink" Target="../MANUALS/2.%20IRENES%20WISDOM/4.%20IRENES%20WISDOM-RULE/6.Machinery/M-39%20STERN%20TUBE%20SEAL%26BEARINGS/4193s_FINISHED%20PLAN%20FOR%20BUSH_HMD.pdf" TargetMode="External"/><Relationship Id="rId491" Type="http://schemas.openxmlformats.org/officeDocument/2006/relationships/hyperlink" Target="../MANUALS/2.%20IRENES%20WISDOM/4.%20IRENES%20WISDOM-RULE/7.Electric/E-81%20INSTRUCTIOIN%20MANUAL%20FOR%20MAIN%20%26%20EM%27CY%20SWITCHBOARD%20%26%20STARTER/3-1.MOLDED%20CASE%20CIRCUIT%20BREAKER(HBD52D).pdf" TargetMode="External"/><Relationship Id="rId505" Type="http://schemas.openxmlformats.org/officeDocument/2006/relationships/hyperlink" Target="../MANUALS/2.%20IRENES%20WISDOM/4.%20IRENES%20WISDOM-RULE/5.Hull%20Piping/P-18%20EMERGENCY%20FIRE%20PUMP/H4193%20INSPECTION%20REPORT.PDF" TargetMode="External"/><Relationship Id="rId37" Type="http://schemas.openxmlformats.org/officeDocument/2006/relationships/hyperlink" Target="../MANUALS/2.%20IRENES%20WISDOM/4.%20IRENES%20WISDOM-RULE/2.Hull/H-11_STEERING%20GEAR%20SEAT.pdf" TargetMode="External"/><Relationship Id="rId79" Type="http://schemas.openxmlformats.org/officeDocument/2006/relationships/hyperlink" Target="../MANUALS/2.%20IRENES%20WISDOM/4.%20IRENES%20WISDOM-RULE/3.Hull%20Outfitting/F-24_SPARE%20PART%20LIST(OUTFITTING%20PART).pdf" TargetMode="External"/><Relationship Id="rId102" Type="http://schemas.openxmlformats.org/officeDocument/2006/relationships/hyperlink" Target="../MANUALS/2.%20IRENES%20WISDOM/4.%20IRENES%20WISDOM-RULE/3.Hull%20Outfitting/F-8_ARRG%27T%20OF%20STEERING%20GEAR%20ROOM.pdf" TargetMode="External"/><Relationship Id="rId144" Type="http://schemas.openxmlformats.org/officeDocument/2006/relationships/hyperlink" Target="../MANUALS/2.%20IRENES%20WISDOM/4.%20IRENES%20WISDOM-RULE/4.Accommodation/A-39_SPARE%20PART%20LIST(ACCOM.%20PART).pdf" TargetMode="External"/><Relationship Id="rId547" Type="http://schemas.openxmlformats.org/officeDocument/2006/relationships/hyperlink" Target="https://dasoulutions.sharepoint.com/:x:/s/ANCHOOREDDATASOLUTIONS/IQDbEGRdnpuCQLTS1Bc08J-CAe9485dDDmDfjDlEsyXt8YQ?e=tyB5Nb" TargetMode="External"/><Relationship Id="rId90" Type="http://schemas.openxmlformats.org/officeDocument/2006/relationships/hyperlink" Target="../MANUALS/2.%20IRENES%20WISDOM/4.%20IRENES%20WISDOM-RULE/3.Hull%20Outfitting/F-35%20PILOT%20SLANT%20LADDER.pdf" TargetMode="External"/><Relationship Id="rId186" Type="http://schemas.openxmlformats.org/officeDocument/2006/relationships/hyperlink" Target="../MANUALS/2.%20IRENES%20WISDOM/4.%20IRENES%20WISDOM-RULE/5.Hull%20Piping/P-18%20EMERGENCY%20FIRE%20PUMP/INSTRUCTION%20MANUAL%20(centrifugal%20pumps)%20.pdf" TargetMode="External"/><Relationship Id="rId351" Type="http://schemas.openxmlformats.org/officeDocument/2006/relationships/hyperlink" Target="../MANUALS/2.%20IRENES%20WISDOM/4.%20IRENES%20WISDOM-RULE/7.Electric/E-12_ARRG%27T%20OF%20NAVIGATION%20LIGHTS.pdf" TargetMode="External"/><Relationship Id="rId393" Type="http://schemas.openxmlformats.org/officeDocument/2006/relationships/hyperlink" Target="../MANUALS/2.%20IRENES%20WISDOM/4.%20IRENES%20WISDOM-RULE/7.Electric/E-60%20C.C.T.V.PDF" TargetMode="External"/><Relationship Id="rId407" Type="http://schemas.openxmlformats.org/officeDocument/2006/relationships/hyperlink" Target="../MANUALS/2.%20IRENES%20WISDOM/4.%20IRENES%20WISDOM-RULE/7.Electric/E-76%20RECEPTACLE%20FOR%20REEFER%20CONTAINER.pdf" TargetMode="External"/><Relationship Id="rId449" Type="http://schemas.openxmlformats.org/officeDocument/2006/relationships/hyperlink" Target="../MANUALS/2.%20IRENES%20WISDOM/4.%20IRENES%20WISDOM-RULE/7.Electric/E-33,34,35,36,39,40,44,45,62,63%20JRC/2DJ-3533_W%20FAX_JAX-9B(E)7ZPNA4036D(V5)%20INSTRUCTION%20120404.pdf" TargetMode="External"/><Relationship Id="rId21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27%20ER%20VENTILATION%20FAN&amp;View=%7BB2C268B8%2DAED3%2D4876%2D837F%2DD0E595242160%7D" TargetMode="External"/><Relationship Id="rId253" Type="http://schemas.openxmlformats.org/officeDocument/2006/relationships/hyperlink" Target="../MANUALS/2.%20IRENES%20WISDOM/4.%20IRENES%20WISDOM-RULE/6.Machinery/M-9_SHAFTING%20PLAN.pdf" TargetMode="External"/><Relationship Id="rId295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1%20DIESEL%20GENERATOR%20ENGINE%2F1&amp;View=%7BB2C268B8%2DAED3%2D4876%2D837F%2DD0E595242160%7D" TargetMode="External"/><Relationship Id="rId309" Type="http://schemas.openxmlformats.org/officeDocument/2006/relationships/hyperlink" Target="../MANUALS/2.%20IRENES%20WISDOM/4.%20IRENES%20WISDOM-RULE/6.Machinery/M-44,45%20ER%20CENTRIFUGAL%20PUMP/H4193%20FINISHED%20DWG_EMERGENCY%20FIRE%20PUMP(220914).pdf" TargetMode="External"/><Relationship Id="rId460" Type="http://schemas.openxmlformats.org/officeDocument/2006/relationships/hyperlink" Target="../MANUALS/2.%20IRENES%20WISDOM/4.%20IRENES%20WISDOM-RULE/7.Electric/E-59%20INSTRUMENTS/H4193_F(Electric%20sensor).pdf" TargetMode="External"/><Relationship Id="rId516" Type="http://schemas.openxmlformats.org/officeDocument/2006/relationships/hyperlink" Target="https://dasoulutions.sharepoint.com/:x:/s/ANCHOOREDDATASOLUTIONS/IQBTZkh0lDoTRIdpE0XVRPHxAS96vdUbngj-xen8UiCRL7I?e=FCvXhO" TargetMode="External"/><Relationship Id="rId48" Type="http://schemas.openxmlformats.org/officeDocument/2006/relationships/hyperlink" Target="../MANUALS/2.%20IRENES%20WISDOM/4.%20IRENES%20WISDOM-RULE/2.Hull/H-21_HATCH%20COAMING%20CONSTRUCTION.pdf" TargetMode="External"/><Relationship Id="rId113" Type="http://schemas.openxmlformats.org/officeDocument/2006/relationships/hyperlink" Target="../MANUALS/2.%20IRENES%20WISDOM/4.%20IRENES%20WISDOM-RULE/4.Accommodation/A-10_PANAMA%20PILOT%20SHELTER%20ON%20DECK%20HOUSE.pdf" TargetMode="External"/><Relationship Id="rId320" Type="http://schemas.openxmlformats.org/officeDocument/2006/relationships/hyperlink" Target="../MANUALS/2.%20IRENES%20WISDOM/4.%20IRENES%20WISDOM-RULE/6.Machinery/M-46%20PURIFIER/3.%20Settings%20and%20malfunctions.pdf" TargetMode="External"/><Relationship Id="rId558" Type="http://schemas.openxmlformats.org/officeDocument/2006/relationships/hyperlink" Target="https://dasoulutions.sharepoint.com/:x:/s/ANCHOOREDDATASOLUTIONS/IQBMGzvjc-caR71HNKcJYWWfARSWgoOIqYOuMTALi8cAobs?e=jm1A7y" TargetMode="External"/><Relationship Id="rId155" Type="http://schemas.openxmlformats.org/officeDocument/2006/relationships/hyperlink" Target="../MANUALS/2.%20IRENES%20WISDOM/4.%20IRENES%20WISDOM-RULE/4.Accommodation/A-1_ACCOMMODATION%20PLAN/A-1-5_ACCOMMODATION%20PLAN%20ON%20D%20DECK.pdf" TargetMode="External"/><Relationship Id="rId197" Type="http://schemas.openxmlformats.org/officeDocument/2006/relationships/hyperlink" Target="../MANUALS/2.%20IRENES%20WISDOM/4.%20IRENES%20WISDOM-RULE/6.Machinery/M-14_ARRG%27T%20OF%20DOOR%20%26%20INSULATION%20IN%20E_ROOM.pdf" TargetMode="External"/><Relationship Id="rId362" Type="http://schemas.openxmlformats.org/officeDocument/2006/relationships/hyperlink" Target="../MANUALS/2.%20IRENES%20WISDOM/4.%20IRENES%20WISDOM-RULE/7.Electric/E-22_ARRG%27T%20OF%20BATTERY%20ROOM.pdf" TargetMode="External"/><Relationship Id="rId418" Type="http://schemas.openxmlformats.org/officeDocument/2006/relationships/hyperlink" Target="../MANUALS/2.%20IRENES%20WISDOM/4.%20IRENES%20WISDOM-RULE/7.Electric/E-32%20AUTO%20PILOT%20%26%20GYRO%20COMPASS/IM-MDR290-E_7th.pdf" TargetMode="External"/><Relationship Id="rId222" Type="http://schemas.openxmlformats.org/officeDocument/2006/relationships/hyperlink" Target="../MANUALS/2.%20IRENES%20WISDOM/4.%20IRENES%20WISDOM-RULE/6.Machinery/M-38%20PROPELLER.pdf" TargetMode="External"/><Relationship Id="rId264" Type="http://schemas.openxmlformats.org/officeDocument/2006/relationships/hyperlink" Target="../MANUALS/2.%20IRENES%20WISDOM/4.%20IRENES%20WISDOM-RULE/6.Machinery/M-32%20BALLAST%20WATER%20TREATMENT%20PLANT/%5bECS%20MANUAL_EN_Ver.C1.02%5d%20HMD%204193_94_4232_33_34_35%20(2022.08.18).pdf" TargetMode="External"/><Relationship Id="rId471" Type="http://schemas.openxmlformats.org/officeDocument/2006/relationships/hyperlink" Target="../MANUALS/2.%20IRENES%20WISDOM/4.%20IRENES%20WISDOM-RULE/7.Electric/E-78%20EM%27CY%20DIESEL%20GENERATOR%20SET/1.%20Specification/1-1.%20Specification%20for%20H4193.pdf" TargetMode="External"/><Relationship Id="rId17" Type="http://schemas.openxmlformats.org/officeDocument/2006/relationships/hyperlink" Target="../MANUALS/2.%20IRENES%20WISDOM/4.%20IRENES%20WISDOM-RULE/1.Basic/B-14_VISIBILITY%20CALCULATION(ACC.%20TO%20SOLAS).pdf" TargetMode="External"/><Relationship Id="rId59" Type="http://schemas.openxmlformats.org/officeDocument/2006/relationships/hyperlink" Target="../MANUALS/2.%20IRENES%20WISDOM/4.%20IRENES%20WISDOM-RULE/2.Hull/H-7_AFT%20END%20CONSTRUCTION.pdf" TargetMode="External"/><Relationship Id="rId124" Type="http://schemas.openxmlformats.org/officeDocument/2006/relationships/hyperlink" Target="../MANUALS/2.%20IRENES%20WISDOM/4.%20IRENES%20WISDOM-RULE/4.Accommodation/A-20%20ELEVATOR.pdf" TargetMode="External"/><Relationship Id="rId527" Type="http://schemas.openxmlformats.org/officeDocument/2006/relationships/hyperlink" Target="https://dasoulutions.sharepoint.com/:x:/s/ANCHOOREDDATASOLUTIONS/IQBP8wEb6s1DQbxfY9npg6n4AUjFwCmlkdaImZ8zqU3nRSE?e=UNzYQ9" TargetMode="External"/><Relationship Id="rId569" Type="http://schemas.openxmlformats.org/officeDocument/2006/relationships/hyperlink" Target="https://dasoulutions.sharepoint.com/:x:/s/ANCHOOREDDATASOLUTIONS/IQDBVto7WFj6RYvdgVSVfDyBAa__cd7fCLklj5jXoVqhVcw?e=JoeNQo" TargetMode="External"/><Relationship Id="rId70" Type="http://schemas.openxmlformats.org/officeDocument/2006/relationships/hyperlink" Target="../MANUALS/2.%20IRENES%20WISDOM/4.%20IRENES%20WISDOM-RULE/3.Hull%20Outfitting/F-16_ARRG%27T%20OF%20HULL-OUTFITTINGS%20FOR%20FORE%20SHIP(INCL.BOW%20THRUSTER%20ROOM).pdf" TargetMode="External"/><Relationship Id="rId166" Type="http://schemas.openxmlformats.org/officeDocument/2006/relationships/hyperlink" Target="../MANUALS/2.%20IRENES%20WISDOM/4.%20IRENES%20WISDOM-RULE/5.Hull%20Piping/P-16_SPARE%20PART%20LIST(PIPING%20PART).pdf" TargetMode="External"/><Relationship Id="rId33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8%20AIR%20COMPRESSOR%2F1&amp;View=%7BB2C268B8%2DAED3%2D4876%2D837F%2DD0E595242160%7D" TargetMode="External"/><Relationship Id="rId373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32%20AUTO%20PILOT%20%26%20GYRO%20COMPASS&amp;View=%7BB2C268B8%2DAED3%2D4876%2D837F%2DD0E595242160%7D" TargetMode="External"/><Relationship Id="rId429" Type="http://schemas.openxmlformats.org/officeDocument/2006/relationships/hyperlink" Target="../MANUALS/2.%20IRENES%20WISDOM/4.%20IRENES%20WISDOM-RULE/7.Electric/E-33,34,35,36,39,40,44,45,62,63%20JRC/2DJ-3533_ECDIS_JAN-7201_9201(E)7ZPNA4451M_V14_INSTR(Reference)%20210902.pdf" TargetMode="External"/><Relationship Id="rId580" Type="http://schemas.openxmlformats.org/officeDocument/2006/relationships/hyperlink" Target="https://dasoulutions.sharepoint.com/:x:/s/ANCHOOREDDATASOLUTIONS/IQByTEJr_GXPQ62i3gJXNuOsARveLQ5V8oNnz3hc1GNUbXQ?e=wOQ6Wu" TargetMode="External"/><Relationship Id="rId1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&amp;View=%7BB2C268B8%2DAED3%2D4876%2D837F%2DD0E595242160%7D" TargetMode="External"/><Relationship Id="rId233" Type="http://schemas.openxmlformats.org/officeDocument/2006/relationships/hyperlink" Target="../MANUALS/2.%20IRENES%20WISDOM/4.%20IRENES%20WISDOM-RULE/6.Machinery/M-49%20AIR%20RESERVOIR.pdf" TargetMode="External"/><Relationship Id="rId440" Type="http://schemas.openxmlformats.org/officeDocument/2006/relationships/hyperlink" Target="../MANUALS/2.%20IRENES%20WISDOM/4.%20IRENES%20WISDOM-RULE/7.Electric/E-33,34,35,36,39,40,44,45,62,63%20JRC/2DJ-3533_RADAR_JMR-7200_9200(E)7ZPNA4447G(V10)%20INSTR(Function)%20210603.pdf" TargetMode="External"/><Relationship Id="rId28" Type="http://schemas.openxmlformats.org/officeDocument/2006/relationships/hyperlink" Target="../MANUALS/2.%20IRENES%20WISDOM/4.%20IRENES%20WISDOM-RULE/1.Basic/B-3_CAPACITY%20PLAN%20%26%20DEADWEIGHT%20SCALE.pdf" TargetMode="External"/><Relationship Id="rId275" Type="http://schemas.openxmlformats.org/officeDocument/2006/relationships/hyperlink" Target="../MANUALS/2.%20IRENES%20WISDOM/4.%20IRENES%20WISDOM-RULE/6.Machinery/M-34%20MAIN%20ENGINE/1/MANUAL/VOLUME%20I.pdf" TargetMode="External"/><Relationship Id="rId300" Type="http://schemas.openxmlformats.org/officeDocument/2006/relationships/hyperlink" Target="../MANUALS/2.%20IRENES%20WISDOM/4.%20IRENES%20WISDOM-RULE/6.Machinery/M-41%20DIESEL%20GENERATOR%20ENGINE/1/data/VOL%201.pdf" TargetMode="External"/><Relationship Id="rId482" Type="http://schemas.openxmlformats.org/officeDocument/2006/relationships/hyperlink" Target="../MANUALS/2.%20IRENES%20WISDOM/4.%20IRENES%20WISDOM-RULE/7.Electric/E-78%20EM%27CY%20DIESEL%20GENERATOR%20SET/5.%20Elec.%20Parts%20for%20GPC/5-3.%20Control%20Panel%20Parts%20List.pdf" TargetMode="External"/><Relationship Id="rId538" Type="http://schemas.openxmlformats.org/officeDocument/2006/relationships/hyperlink" Target="https://dasoulutions.sharepoint.com/:x:/s/ANCHOOREDDATASOLUTIONS/IQCgLsiy3kSATZLE2h2Ps2iQARVF1cPJRVrFXmb6jWEfcRY?e=B7gJzg" TargetMode="External"/><Relationship Id="rId81" Type="http://schemas.openxmlformats.org/officeDocument/2006/relationships/hyperlink" Target="../MANUALS/2.%20IRENES%20WISDOM/4.%20IRENES%20WISDOM-RULE/3.Hull%20Outfitting/F-26%20STEERING%20GEAR.pdf" TargetMode="External"/><Relationship Id="rId135" Type="http://schemas.openxmlformats.org/officeDocument/2006/relationships/hyperlink" Target="../MANUALS/2.%20IRENES%20WISDOM/4.%20IRENES%20WISDOM-RULE/4.Accommodation/A-30_MISCELLANEOUS%20EQUIPMENT%20IN%20ACCOM.pdf" TargetMode="External"/><Relationship Id="rId177" Type="http://schemas.openxmlformats.org/officeDocument/2006/relationships/hyperlink" Target="../MANUALS/2.%20IRENES%20WISDOM/4.%20IRENES%20WISDOM-RULE/5.Hull%20Piping/P-5_PIPING%20ARR%27T%20OF%20AFT%20DECK(INCL.%20D_HOUSE%20WALL).pdf" TargetMode="External"/><Relationship Id="rId342" Type="http://schemas.openxmlformats.org/officeDocument/2006/relationships/hyperlink" Target="../MANUALS/2.%20IRENES%20WISDOM/4.%20IRENES%20WISDOM-RULE/6.Machinery/M-53%20M.G.P.S/MGPS/logsheet%20ICCP%20MGPS.xls" TargetMode="External"/><Relationship Id="rId384" Type="http://schemas.openxmlformats.org/officeDocument/2006/relationships/hyperlink" Target="../MANUALS/2.%20IRENES%20WISDOM/4.%20IRENES%20WISDOM-RULE/7.Electric/E-50%20LIGHT%20SIGNAL%20COLUMN.pdf" TargetMode="External"/><Relationship Id="rId202" Type="http://schemas.openxmlformats.org/officeDocument/2006/relationships/hyperlink" Target="../MANUALS/2.%20IRENES%20WISDOM/4.%20IRENES%20WISDOM-RULE/6.Machinery/M-19_CALCULATION%20OF%20SHAFT%20ALIGNMENT.pdf" TargetMode="External"/><Relationship Id="rId244" Type="http://schemas.openxmlformats.org/officeDocument/2006/relationships/hyperlink" Target="../MANUALS/2.%20IRENES%20WISDOM/4.%20IRENES%20WISDOM-RULE/6.Machinery/M-59%20GAS%20WELDER.pdf" TargetMode="External"/><Relationship Id="rId39" Type="http://schemas.openxmlformats.org/officeDocument/2006/relationships/hyperlink" Target="../MANUALS/2.%20IRENES%20WISDOM/4.%20IRENES%20WISDOM-RULE/2.Hull/H-13_ENGINE%20ROOM%20CONSTRUCTION.pdf" TargetMode="External"/><Relationship Id="rId286" Type="http://schemas.openxmlformats.org/officeDocument/2006/relationships/hyperlink" Target="../MANUALS/2.%20IRENES%20WISDOM/4.%20IRENES%20WISDOM-RULE/6.Machinery/M-39%20STERN%20TUBE%20SEAL%26BEARINGS/4193s_FINISHED%20PLAN%20FOR%20SEAL_HMD.pdf" TargetMode="External"/><Relationship Id="rId451" Type="http://schemas.openxmlformats.org/officeDocument/2006/relationships/hyperlink" Target="../MANUALS/2.%20IRENES%20WISDOM/4.%20IRENES%20WISDOM-RULE/7.Electric/E-43%20INTEGRATED%20SMART%20SHIP%20SOLUTION(HYUNDAL%20ISS)/REV.A%20HMSS-4193%20ISS%20(FOR%20FINAL)_20221108.pdf" TargetMode="External"/><Relationship Id="rId493" Type="http://schemas.openxmlformats.org/officeDocument/2006/relationships/hyperlink" Target="../MANUALS/2.%20IRENES%20WISDOM/4.%20IRENES%20WISDOM-RULE/7.Electric/E-81%20INSTRUCTIOIN%20MANUAL%20FOR%20MAIN%20%26%20EM%27CY%20SWITCHBOARD%20%26%20STARTER/3-3.MOLDED%20CASE%20CIRCUIT%20BREAKER(HGM).pdf" TargetMode="External"/><Relationship Id="rId507" Type="http://schemas.openxmlformats.org/officeDocument/2006/relationships/hyperlink" Target="../MANUALS/2.%20IRENES%20WISDOM/4.%20IRENES%20WISDOM-RULE/5.Hull%20Piping/P-18%20EMERGENCY%20FIRE%20PUMP/INSTRUCTION%20MANUAL%20(centrifugal%20pumps)%20.pdf" TargetMode="External"/><Relationship Id="rId549" Type="http://schemas.openxmlformats.org/officeDocument/2006/relationships/hyperlink" Target="https://dasoulutions.sharepoint.com/:x:/s/ANCHOOREDDATASOLUTIONS/IQAhT7LJKSyyRY8fQjyxi9LSAZWLyyS_KOXVjA5CXmaWgwg?e=bGYFHb" TargetMode="External"/><Relationship Id="rId50" Type="http://schemas.openxmlformats.org/officeDocument/2006/relationships/hyperlink" Target="../MANUALS/2.%20IRENES%20WISDOM/4.%20IRENES%20WISDOM-RULE/2.Hull/H-23_WINCH%20%26%20WINDLASS%20SEAT.pdf" TargetMode="External"/><Relationship Id="rId104" Type="http://schemas.openxmlformats.org/officeDocument/2006/relationships/hyperlink" Target="../MANUALS/2.%20IRENES%20WISDOM/4.%20IRENES%20WISDOM-RULE/3.Hull%20Outfitting/SHINMYUNGTECH_4193_F.O.OSEHANDLINGDAVIT_FINAL_20220825.pdf" TargetMode="External"/><Relationship Id="rId146" Type="http://schemas.openxmlformats.org/officeDocument/2006/relationships/hyperlink" Target="../MANUALS/2.%20IRENES%20WISDOM/4.%20IRENES%20WISDOM-RULE/4.Accommodation/A-5_INTERIOR%20COLOR%20SCHEME.pdf" TargetMode="External"/><Relationship Id="rId188" Type="http://schemas.openxmlformats.org/officeDocument/2006/relationships/hyperlink" Target="../MANUALS/2.%20IRENES%20WISDOM/4.%20IRENES%20WISDOM-RULE/5.Hull%20Piping/P-18%20EMERGENCY%20FIRE%20PUMP/INSTRUCTION%20MANUAL%20(nash%20type%20vacuum%20pumps)%20.pdf" TargetMode="External"/><Relationship Id="rId311" Type="http://schemas.openxmlformats.org/officeDocument/2006/relationships/hyperlink" Target="../MANUALS/2.%20IRENES%20WISDOM/4.%20IRENES%20WISDOM-RULE/6.Machinery/M-44,45%20ER%20CENTRIFUGAL%20PUMP/H4193%20INSPECTION%20REPORT_EMERGENCY%20FIRE%20PUMP.PDF" TargetMode="External"/><Relationship Id="rId353" Type="http://schemas.openxmlformats.org/officeDocument/2006/relationships/hyperlink" Target="../MANUALS/2.%20IRENES%20WISDOM/4.%20IRENES%20WISDOM-RULE/7.Electric/E-14_LIST%20%26%20ARRG%27T%20OF%20ELEC.%20EQUIP.%20IN%20DANGEROUS%20AREA.pdf" TargetMode="External"/><Relationship Id="rId395" Type="http://schemas.openxmlformats.org/officeDocument/2006/relationships/hyperlink" Target="../MANUALS/2.%20IRENES%20WISDOM/4.%20IRENES%20WISDOM-RULE/7.Electric/E-65%20MAIN%20SWITCH%20BOARD.pdf" TargetMode="External"/><Relationship Id="rId409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8%20EM%27CY%20DIESEL%20GENERATOR%20SET&amp;View=%7BB2C268B8%2DAED3%2D4876%2D837F%2DD0E595242160%7D" TargetMode="External"/><Relationship Id="rId560" Type="http://schemas.openxmlformats.org/officeDocument/2006/relationships/hyperlink" Target="https://dasoulutions.sharepoint.com/:x:/s/ANCHOOREDDATASOLUTIONS/IQD6S8QsUvPVRIZnZd38vqCgAeKjTNAi6b7zrTeVHqcgirY?e=r9nqLC" TargetMode="External"/><Relationship Id="rId92" Type="http://schemas.openxmlformats.org/officeDocument/2006/relationships/hyperlink" Target="../MANUALS/2.%20IRENES%20WISDOM/4.%20IRENES%20WISDOM-RULE/3.Hull%20Outfitting/F-37%20LIFE%20BOAT%20DAVIT.pdf" TargetMode="External"/><Relationship Id="rId213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29%2C30%20PRESSURE%20CONTROL%20VALVE&amp;View=%7BB2C268B8%2DAED3%2D4876%2D837F%2DD0E595242160%7D" TargetMode="External"/><Relationship Id="rId420" Type="http://schemas.openxmlformats.org/officeDocument/2006/relationships/hyperlink" Target="../MANUALS/2.%20IRENES%20WISDOM/4.%20IRENES%20WISDOM-RULE/7.Electric/E-32%20AUTO%20PILOT%20%26%20GYRO%20COMPASS/IM-PT900-E_14th.pdf" TargetMode="External"/><Relationship Id="rId255" Type="http://schemas.openxmlformats.org/officeDocument/2006/relationships/hyperlink" Target="../MANUALS/2.%20IRENES%20WISDOM/4.%20IRENES%20WISDOM-RULE/6.Machinery/M-27%20ER%20VENTILATION%20FAN/HI%20AIR%20Manual.pdf" TargetMode="External"/><Relationship Id="rId297" Type="http://schemas.openxmlformats.org/officeDocument/2006/relationships/hyperlink" Target="../MANUALS/2.%20IRENES%20WISDOM/4.%20IRENES%20WISDOM-RULE/6.Machinery/M-41%20DIESEL%20GENERATOR%20ENGINE/1/8000%20hrs%20dg.txt" TargetMode="External"/><Relationship Id="rId462" Type="http://schemas.openxmlformats.org/officeDocument/2006/relationships/hyperlink" Target="../MANUALS/2.%20IRENES%20WISDOM/4.%20IRENES%20WISDOM-RULE/7.Electric/E-75%20ELEC.%20EQUIP.%20FOR%20REEFER%20MONITORING%20SYSTEM/CCT-HMD%20H4193-94%20RD9%20RCMS%20Final-R0%20221114_%EC%B5%9C%EC%A2%85.pdf" TargetMode="External"/><Relationship Id="rId518" Type="http://schemas.openxmlformats.org/officeDocument/2006/relationships/hyperlink" Target="https://dasoulutions.sharepoint.com/:x:/s/ANCHOOREDDATASOLUTIONS/IQCRGUu9hmwGQbaZ53zBoe0yAZAykPFmbCzA0Fbx20FXtmU?e=MBmtEt" TargetMode="External"/><Relationship Id="rId115" Type="http://schemas.openxmlformats.org/officeDocument/2006/relationships/hyperlink" Target="../MANUALS/2.%20IRENES%20WISDOM/4.%20IRENES%20WISDOM-RULE/4.Accommodation/A-12_ARRG%27T%20OF%20AIR%20CONDITIONING%20ROOM.pdf" TargetMode="External"/><Relationship Id="rId157" Type="http://schemas.openxmlformats.org/officeDocument/2006/relationships/hyperlink" Target="../MANUALS/2.%20IRENES%20WISDOM/4.%20IRENES%20WISDOM-RULE/4.Accommodation/A-1_ACCOMMODATION%20PLAN/A-1-7_ACCOMMODATION%20PLAN%20ON%20F%20DECK.pdf" TargetMode="External"/><Relationship Id="rId322" Type="http://schemas.openxmlformats.org/officeDocument/2006/relationships/hyperlink" Target="../MANUALS/2.%20IRENES%20WISDOM/4.%20IRENES%20WISDOM-RULE/6.Machinery/M-46%20PURIFIER/5.%20Instruction%20manual%20for%20OSF25.pdf" TargetMode="External"/><Relationship Id="rId364" Type="http://schemas.openxmlformats.org/officeDocument/2006/relationships/hyperlink" Target="../MANUALS/2.%20IRENES%20WISDOM/4.%20IRENES%20WISDOM-RULE/7.Electric/E-24%20SHORT%20CIRCUIT%20CURRENT%20CALCULATION%20%20%20%20%20%20%20%20%20%20%20%20%20%20%20%20%20%20%20%20%20%20%20%20%20%20%20.pdf" TargetMode="External"/><Relationship Id="rId61" Type="http://schemas.openxmlformats.org/officeDocument/2006/relationships/hyperlink" Target="../MANUALS/2.%20IRENES%20WISDOM/4.%20IRENES%20WISDOM-RULE/2.Hull/H-9_RUDDER%20%26%20R_STOCK%20CONSTRUCTION.pdf" TargetMode="External"/><Relationship Id="rId199" Type="http://schemas.openxmlformats.org/officeDocument/2006/relationships/hyperlink" Target="../MANUALS/2.%20IRENES%20WISDOM/4.%20IRENES%20WISDOM-RULE/6.Machinery/M-16_ARRG%27T%20OF%20M_E%20EXH.%20GAS%20PIPE.pdf" TargetMode="External"/><Relationship Id="rId571" Type="http://schemas.openxmlformats.org/officeDocument/2006/relationships/hyperlink" Target="https://dasoulutions.sharepoint.com/:x:/r/sites/ANCHOOREDDATASOLUTIONS/_layouts/15/Doc.aspx?sourcedoc=%7BE2D2D165-BADE-4206-929E-F73830839E9B%7D&amp;file=Saranay_1-1.%20Specification%20for%20H4193.pdf.xlsx&amp;action=default&amp;mobileredirect=true" TargetMode="External"/><Relationship Id="rId19" Type="http://schemas.openxmlformats.org/officeDocument/2006/relationships/hyperlink" Target="../MANUALS/2.%20IRENES%20WISDOM/4.%20IRENES%20WISDOM-RULE/1.Basic/B-16_TANK%20CALIBRATION%20TABLE.pdf" TargetMode="External"/><Relationship Id="rId224" Type="http://schemas.openxmlformats.org/officeDocument/2006/relationships/hyperlink" Target="../MANUALS/2.%20IRENES%20WISDOM/4.%20IRENES%20WISDOM-RULE/6.Machinery/M-4_GENERAL%20ARRG%27T%20OF%20SPARE%20PART%20%26%20TOOLS%20IN%20E_ROOM.pdf" TargetMode="External"/><Relationship Id="rId266" Type="http://schemas.openxmlformats.org/officeDocument/2006/relationships/hyperlink" Target="../MANUALS/2.%20IRENES%20WISDOM/4.%20IRENES%20WISDOM-RULE/6.Machinery/M-32%20BALLAST%20WATER%20TREATMENT%20PLANT/TC1710-001-USCG(MD)_Rev0.7_ECS%20OMSM.pdf" TargetMode="External"/><Relationship Id="rId431" Type="http://schemas.openxmlformats.org/officeDocument/2006/relationships/hyperlink" Target="../MANUALS/2.%20IRENES%20WISDOM/4.%20IRENES%20WISDOM-RULE/7.Electric/E-33,34,35,36,39,40,44,45,62,63%20JRC/2DJ-3533_ECHO%20SOUNDER_JFE-700(E)7ZPNA2081(V4)%20INSTRUCTION%20210706.pdf" TargetMode="External"/><Relationship Id="rId473" Type="http://schemas.openxmlformats.org/officeDocument/2006/relationships/hyperlink" Target="../MANUALS/2.%20IRENES%20WISDOM/4.%20IRENES%20WISDOM-RULE/7.Electric/E-78%20EM%27CY%20DIESEL%20GENERATOR%20SET/1.%20Specification/1-3.%20L.O%20Contamination%20for%20Emergency%20generator%20engine.pdf" TargetMode="External"/><Relationship Id="rId529" Type="http://schemas.openxmlformats.org/officeDocument/2006/relationships/hyperlink" Target="https://dasoulutions.sharepoint.com/:x:/s/ANCHOOREDDATASOLUTIONS/IQCf8B2YIJyKS6bN5dF-1mBkAfEd47-P9yz5YOXNQbhTBZs?e=a4hXdj" TargetMode="External"/><Relationship Id="rId30" Type="http://schemas.openxmlformats.org/officeDocument/2006/relationships/hyperlink" Target="../MANUALS/2.%20IRENES%20WISDOM/4.%20IRENES%20WISDOM-RULE/1.Basic/B-5_DANGEROUS%20ZONE%20PLAN.pdf" TargetMode="External"/><Relationship Id="rId126" Type="http://schemas.openxmlformats.org/officeDocument/2006/relationships/hyperlink" Target="../MANUALS/2.%20IRENES%20WISDOM/4.%20IRENES%20WISDOM-RULE/4.Accommodation/A-22%20REFRIGERANT%20MANAGEMENT%20PLAN.pdf" TargetMode="External"/><Relationship Id="rId16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5%2EHull%20Piping%2FP%2D18%20EMERGENCY%20FIRE%20PUMP&amp;View=%7BB2C268B8%2DAED3%2D4876%2D837F%2DD0E595242160%7D" TargetMode="External"/><Relationship Id="rId333" Type="http://schemas.openxmlformats.org/officeDocument/2006/relationships/hyperlink" Target="../MANUALS/2.%20IRENES%20WISDOM/4.%20IRENES%20WISDOM-RULE/6.Machinery/M-48%20AIR%20COMPRESSOR/1/H4193,94_EMERGENCY%20AIR%20COMPRESSOR_FIANL%20DRAWING.pdf" TargetMode="External"/><Relationship Id="rId540" Type="http://schemas.openxmlformats.org/officeDocument/2006/relationships/hyperlink" Target="https://dasoulutions.sharepoint.com/:x:/s/ANCHOOREDDATASOLUTIONS/IQCciyoBZnXDToGKp6l3e5YVAVkJ7l62sLXC_9E1FA41MRU?e=JajuVZ" TargetMode="External"/><Relationship Id="rId72" Type="http://schemas.openxmlformats.org/officeDocument/2006/relationships/hyperlink" Target="../MANUALS/2.%20IRENES%20WISDOM/4.%20IRENES%20WISDOM-RULE/3.Hull%20Outfitting/F-18_ARRG%27T%20%26%20DET.%20OF%20FORE%20MAST.pdf" TargetMode="External"/><Relationship Id="rId375" Type="http://schemas.openxmlformats.org/officeDocument/2006/relationships/hyperlink" Target="../MANUALS/2.%20IRENES%20WISDOM/4.%20IRENES%20WISDOM-RULE/7.Electric/E-37%20ANEMOMETER%20%26%20ANEMOSCOPE.PDF" TargetMode="External"/><Relationship Id="rId582" Type="http://schemas.openxmlformats.org/officeDocument/2006/relationships/hyperlink" Target="https://dasoulutions.sharepoint.com/:x:/s/ANCHOOREDDATASOLUTIONS/IQCDSXhqloE7SJ0Mc6_laEoWAVPuAyVs_7hyqmeo2Rm9NLg?e=VtDZiw" TargetMode="External"/><Relationship Id="rId3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&amp;View=%7BB2C268B8%2DAED3%2D4876%2D837F%2DD0E595242160%7D" TargetMode="External"/><Relationship Id="rId235" Type="http://schemas.openxmlformats.org/officeDocument/2006/relationships/hyperlink" Target="../MANUALS/2.%20IRENES%20WISDOM/4.%20IRENES%20WISDOM-RULE/6.Machinery/M-50%20AIR%20DRYER.pdf" TargetMode="External"/><Relationship Id="rId27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34%20MAIN%20ENGINE%2F2%2Fdata&amp;View=%7BB2C268B8%2DAED3%2D4876%2D837F%2DD0E595242160%7D" TargetMode="External"/><Relationship Id="rId400" Type="http://schemas.openxmlformats.org/officeDocument/2006/relationships/hyperlink" Target="../MANUALS/2.%20IRENES%20WISDOM/4.%20IRENES%20WISDOM-RULE/7.Electric/E-7_WIRING%20DIAGRAM%20AND%20ARRG%27T%20OF%20FIRE%20%26%20GENERAL%20ALARM.pdf" TargetMode="External"/><Relationship Id="rId442" Type="http://schemas.openxmlformats.org/officeDocument/2006/relationships/hyperlink" Target="../MANUALS/2.%20IRENES%20WISDOM/4.%20IRENES%20WISDOM-RULE/7.Electric/E-33,34,35,36,39,40,44,45,62,63%20JRC/2DJ-3533_RADAR_JMR-7200_9200s(E)7ZPNA4448K(V14)%20INSTR(Ref)%20220628.pdf" TargetMode="External"/><Relationship Id="rId484" Type="http://schemas.openxmlformats.org/officeDocument/2006/relationships/hyperlink" Target="../MANUALS/2.%20IRENES%20WISDOM/4.%20IRENES%20WISDOM-RULE/7.Electric/E-79%20POWER%20%26%20LIGHTING%20TRANSFORMER/221107%20KD222001%20For%20Final%20DWG%20(For%20HMD%204193s%20TR.).pdf" TargetMode="External"/><Relationship Id="rId137" Type="http://schemas.openxmlformats.org/officeDocument/2006/relationships/hyperlink" Target="../MANUALS/2.%20IRENES%20WISDOM/4.%20IRENES%20WISDOM-RULE/4.Accommodation/A-32_STANDARD%20PRACTICE(VENTILATION)%20IN%20ACCOM.pdf" TargetMode="External"/><Relationship Id="rId302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1%20DIESEL%20GENERATOR%20ENGINE%2F2%2Fdata&amp;View=%7BB2C268B8%2DAED3%2D4876%2D837F%2DD0E595242160%7D" TargetMode="External"/><Relationship Id="rId344" Type="http://schemas.openxmlformats.org/officeDocument/2006/relationships/hyperlink" Target="../MANUALS/2.%20IRENES%20WISDOM/4.%20IRENES%20WISDOM-RULE/6.Machinery/M-58%20DRILLING%20%26%20GRINDING%20MACHINE/H4193%20DRILLING%20MACHINE%20FINAL%20DRAWING%20%26%20INSTRUCTION%20MANUAL.pdf" TargetMode="External"/><Relationship Id="rId41" Type="http://schemas.openxmlformats.org/officeDocument/2006/relationships/hyperlink" Target="../MANUALS/2.%20IRENES%20WISDOM/4.%20IRENES%20WISDOM-RULE/2.Hull/H-15_DIESEL%20GENERATOR%20SEAT.pdf" TargetMode="External"/><Relationship Id="rId83" Type="http://schemas.openxmlformats.org/officeDocument/2006/relationships/hyperlink" Target="../MANUALS/2.%20IRENES%20WISDOM/4.%20IRENES%20WISDOM-RULE/3.Hull%20Outfitting/F-28%20ANCHOR.pdf" TargetMode="External"/><Relationship Id="rId179" Type="http://schemas.openxmlformats.org/officeDocument/2006/relationships/hyperlink" Target="../MANUALS/2.%20IRENES%20WISDOM/4.%20IRENES%20WISDOM-RULE/5.Hull%20Piping/P-7_PIPING%20ARR%27T%20OF%20DOUBLE%20BOTTOM.pdf" TargetMode="External"/><Relationship Id="rId38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52%20ENGINE%20CONTROL%20CONSOLE&amp;View=%7BB2C268B8%2DAED3%2D4876%2D837F%2DD0E595242160%7D" TargetMode="External"/><Relationship Id="rId551" Type="http://schemas.openxmlformats.org/officeDocument/2006/relationships/hyperlink" Target="https://dasoulutions.sharepoint.com/:x:/s/ANCHOOREDDATASOLUTIONS/IQDyppk2blRXR7F2aEuriWjeAScKhhwMUw9DHmLwHlKy1Sw?e=Qlzw56" TargetMode="External"/><Relationship Id="rId190" Type="http://schemas.openxmlformats.org/officeDocument/2006/relationships/hyperlink" Target="../MANUALS/2.%20IRENES%20WISDOM/4.%20IRENES%20WISDOM-RULE/5.Hull%20Piping/P-18%20EMERGENCY%20FIRE%20PUMP/INSTRUCTION%20MANUAL%20(three%20rotor%20screw%20pumps%20_MSDK-M,HM)%20.pdf" TargetMode="External"/><Relationship Id="rId204" Type="http://schemas.openxmlformats.org/officeDocument/2006/relationships/hyperlink" Target="../MANUALS/2.%20IRENES%20WISDOM/4.%20IRENES%20WISDOM-RULE/6.Machinery/M-20_ONBOARD%20TEST%20PROCEDURE%20IN%20E_ROOM.pdf" TargetMode="External"/><Relationship Id="rId246" Type="http://schemas.openxmlformats.org/officeDocument/2006/relationships/hyperlink" Target="../MANUALS/2.%20IRENES%20WISDOM/4.%20IRENES%20WISDOM-RULE/6.Machinery/M-60%20ER%20OVERHEAD%20CRANE.pdf" TargetMode="External"/><Relationship Id="rId288" Type="http://schemas.openxmlformats.org/officeDocument/2006/relationships/hyperlink" Target="../MANUALS/2.%20IRENES%20WISDOM/4.%20IRENES%20WISDOM-RULE/6.Machinery/M-39%20STERN%20TUBE%20SEAL%26BEARINGS/INSTRUCTION%20MANUAL%20for%20STERN%20TUBE%20AIR%20SEAL(2020.0416).pdf" TargetMode="External"/><Relationship Id="rId411" Type="http://schemas.openxmlformats.org/officeDocument/2006/relationships/hyperlink" Target="../MANUALS/2.%20IRENES%20WISDOM/4.%20IRENES%20WISDOM-RULE/7.Electric/E-8_WIRING%20DIAGRAM%20FOR%20CONTROL%20%26%20INSTRUMENT.pdf" TargetMode="External"/><Relationship Id="rId453" Type="http://schemas.openxmlformats.org/officeDocument/2006/relationships/hyperlink" Target="../MANUALS/2.%20IRENES%20WISDOM/4.%20IRENES%20WISDOM-RULE/7.Electric/E-52%20ENGINE%20CONTROL%20CONSOLE/Console%20Manua(ECC%20%26%20BCC).pdf" TargetMode="External"/><Relationship Id="rId509" Type="http://schemas.openxmlformats.org/officeDocument/2006/relationships/hyperlink" Target="../MANUALS/2.%20IRENES%20WISDOM/4.%20IRENES%20WISDOM-RULE/5.Hull%20Piping/P-18%20EMERGENCY%20FIRE%20PUMP/INSTRUCTION%20MANUAL%20(nash%20type%20vacuum%20pumps)%20.pdf" TargetMode="External"/><Relationship Id="rId106" Type="http://schemas.openxmlformats.org/officeDocument/2006/relationships/hyperlink" Target="../MANUALS/2.%20IRENES%20WISDOM/4.%20IRENES%20WISDOM-RULE/3.Hull%20Outfitting/F-33%20CARGO%20HATCH%20COVER/HMD%204193_manual.pdf" TargetMode="External"/><Relationship Id="rId313" Type="http://schemas.openxmlformats.org/officeDocument/2006/relationships/hyperlink" Target="../MANUALS/2.%20IRENES%20WISDOM/4.%20IRENES%20WISDOM-RULE/6.Machinery/M-44,45%20ER%20CENTRIFUGAL%20PUMP/INSTRUCTION%20MANUAL%20(inside%20bearing%20gear%20pumps)%20.pdf" TargetMode="External"/><Relationship Id="rId495" Type="http://schemas.openxmlformats.org/officeDocument/2006/relationships/hyperlink" Target="../MANUALS/2.%20IRENES%20WISDOM/4.%20IRENES%20WISDOM-RULE/7.Electric/E-81%20INSTRUCTIOIN%20MANUAL%20FOR%20MAIN%20%26%20EM%27CY%20SWITCHBOARD%20%26%20STARTER/5.GROUND%20FAULT%20MONITOR.pdf" TargetMode="External"/><Relationship Id="rId10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&amp;View=%7BB2C268B8%2DAED3%2D4876%2D837F%2DD0E595242160%7D" TargetMode="External"/><Relationship Id="rId52" Type="http://schemas.openxmlformats.org/officeDocument/2006/relationships/hyperlink" Target="../MANUALS/2.%20IRENES%20WISDOM/4.%20IRENES%20WISDOM-RULE/2.Hull/H-25_I.C.C.P%20SYSTEM(IMPRESSED%20CURRENT%20CATHODIC%20PROTECTION).pdf" TargetMode="External"/><Relationship Id="rId94" Type="http://schemas.openxmlformats.org/officeDocument/2006/relationships/hyperlink" Target="../MANUALS/2.%20IRENES%20WISDOM/4.%20IRENES%20WISDOM-RULE/3.Hull%20Outfitting/F-39%20RESCUE%20BOAT%20DAVIT.pdf" TargetMode="External"/><Relationship Id="rId148" Type="http://schemas.openxmlformats.org/officeDocument/2006/relationships/hyperlink" Target="../MANUALS/2.%20IRENES%20WISDOM/4.%20IRENES%20WISDOM-RULE/4.Accommodation/A-7_MISCELLANEOUS%20MARK%20AROUND%20D_HOUSE%20%26%20FUNNEL.pdf" TargetMode="External"/><Relationship Id="rId355" Type="http://schemas.openxmlformats.org/officeDocument/2006/relationships/hyperlink" Target="../MANUALS/2.%20IRENES%20WISDOM/4.%20IRENES%20WISDOM-RULE/7.Electric/E-16_ARRG%27T%20OF%20ENGINE%20CONTROL%20ROOM.pdf" TargetMode="External"/><Relationship Id="rId397" Type="http://schemas.openxmlformats.org/officeDocument/2006/relationships/hyperlink" Target="../MANUALS/2.%20IRENES%20WISDOM/4.%20IRENES%20WISDOM-RULE/7.Electric/E-67%20DISTRIBUTION%20BOARD.pdf" TargetMode="External"/><Relationship Id="rId520" Type="http://schemas.openxmlformats.org/officeDocument/2006/relationships/hyperlink" Target="https://dasoulutions.sharepoint.com/:x:/s/ANCHOOREDDATASOLUTIONS/IQD4E0RwEZfFRYpuKpNil0IAAfBrm6warpp8WuM7Q5lOGag?e=7lPHxX" TargetMode="External"/><Relationship Id="rId562" Type="http://schemas.openxmlformats.org/officeDocument/2006/relationships/hyperlink" Target="https://dasoulutions.sharepoint.com/:x:/s/ANCHOOREDDATASOLUTIONS/IQAKRceOGLSFSYFbFTZTf9yCAf0606eioXZgB01UuW0VVf8?e=ubSfBk" TargetMode="External"/><Relationship Id="rId215" Type="http://schemas.openxmlformats.org/officeDocument/2006/relationships/hyperlink" Target="../MANUALS/2.%20IRENES%20WISDOM/4.%20IRENES%20WISDOM-RULE/6.Machinery/M-31%20EMERGENCY%20SHUT-OFF%20VALVE.pdf" TargetMode="External"/><Relationship Id="rId257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29%2C30%20PRESSURE%20CONTROL%20VALVE%2FMANUAL&amp;View=%7BB2C268B8%2DAED3%2D4876%2D837F%2DD0E595242160%7D" TargetMode="External"/><Relationship Id="rId422" Type="http://schemas.openxmlformats.org/officeDocument/2006/relationships/hyperlink" Target="../MANUALS/2.%20IRENES%20WISDOM/4.%20IRENES%20WISDOM-RULE/7.Electric/E-33,34,35,36,39,40,44,45,62,63%20JRC/2DJ-3533_AIS_JHS-183(E)7ZPJD0553E(V1)%20INSTRUCTION%20210929.pdf" TargetMode="External"/><Relationship Id="rId464" Type="http://schemas.openxmlformats.org/officeDocument/2006/relationships/hyperlink" Target="../MANUALS/2.%20IRENES%20WISDOM/4.%20IRENES%20WISDOM-RULE/7.Electric/E-77%20DIESEL%20GENERATOR/H4193%20FINAL.pdf" TargetMode="External"/><Relationship Id="rId299" Type="http://schemas.openxmlformats.org/officeDocument/2006/relationships/hyperlink" Target="../MANUALS/2.%20IRENES%20WISDOM/4.%20IRENES%20WISDOM-RULE/6.Machinery/M-41%20DIESEL%20GENERATOR%20ENGINE/1/Start.pdf" TargetMode="External"/><Relationship Id="rId63" Type="http://schemas.openxmlformats.org/officeDocument/2006/relationships/hyperlink" Target="../MANUALS/2.%20IRENES%20WISDOM/4.%20IRENES%20WISDOM-RULE/3.Hull%20Outfitting/F-1_VENTILATION%20DIAGRAM%20FOR%20HULL%20PART.pdf" TargetMode="External"/><Relationship Id="rId159" Type="http://schemas.openxmlformats.org/officeDocument/2006/relationships/hyperlink" Target="../MANUALS/2.%20IRENES%20WISDOM/4.%20IRENES%20WISDOM-RULE/5.Hull%20Piping/P-1_HULL%20PIPING%20DIAGRAM(EXCEPT%20LIVING%20QUARTER).pdf" TargetMode="External"/><Relationship Id="rId366" Type="http://schemas.openxmlformats.org/officeDocument/2006/relationships/hyperlink" Target="../MANUALS/2.%20IRENES%20WISDOM/4.%20IRENES%20WISDOM-RULE/7.Electric/E-26_ONBOARD%20TEST%20PROCEDURE%20FOR%20MACH.%20CONTROL%20IN%20E_ROOM.pdf" TargetMode="External"/><Relationship Id="rId573" Type="http://schemas.openxmlformats.org/officeDocument/2006/relationships/hyperlink" Target="https://dasoulutions.sharepoint.com/:x:/r/sites/ANCHOOREDDATASOLUTIONS/_layouts/15/Doc.aspx?sourcedoc=%7B2B050260-9D29-47D6-8C1C-53CDFA0040AD%7D&amp;file=SARANAY_2-2.%20AD086TI%20Part%20Book.pdf.xlsx&amp;action=default&amp;mobileredirect=true" TargetMode="External"/><Relationship Id="rId22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6%2EMachinery%2FM%2D41%20DIESEL%20GENERATOR%20ENGINE&amp;View=%7BB2C268B8%2DAED3%2D4876%2D837F%2DD0E595242160%7D" TargetMode="External"/><Relationship Id="rId433" Type="http://schemas.openxmlformats.org/officeDocument/2006/relationships/hyperlink" Target="../MANUALS/2.%20IRENES%20WISDOM/4.%20IRENES%20WISDOM-RULE/7.Electric/E-33,34,35,36,39,40,44,45,62,63%20JRC/2DJ-3533_GPS_JLR-8400(E)7ZPNA4697(V2)%20INSTRUCTION%20MANUAL%20210826.pdf" TargetMode="External"/><Relationship Id="rId74" Type="http://schemas.openxmlformats.org/officeDocument/2006/relationships/hyperlink" Target="../MANUALS/2.%20IRENES%20WISDOM/4.%20IRENES%20WISDOM-RULE/3.Hull%20Outfitting/F-2_ARRNT%20OF%20MOORING%20SYSTEM.pdf" TargetMode="External"/><Relationship Id="rId377" Type="http://schemas.openxmlformats.org/officeDocument/2006/relationships/hyperlink" Target="../MANUALS/2.%20IRENES%20WISDOM/4.%20IRENES%20WISDOM-RULE/7.Electric/E-4_INSTRUMENT%20%26%20ALARM%20POINT%20LIST.pdf" TargetMode="External"/><Relationship Id="rId500" Type="http://schemas.openxmlformats.org/officeDocument/2006/relationships/hyperlink" Target="../MANUALS/2.%20IRENES%20WISDOM/4.%20IRENES%20WISDOM-RULE/3.Hull%20Outfitting/F-29%20ANCHOR%20CHAIN.pdf" TargetMode="External"/><Relationship Id="rId584" Type="http://schemas.openxmlformats.org/officeDocument/2006/relationships/comments" Target="../comments1.xml"/><Relationship Id="rId5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2%2EHull&amp;View=%7BB2C268B8%2DAED3%2D4876%2D837F%2DD0E595242160%7D" TargetMode="External"/><Relationship Id="rId237" Type="http://schemas.openxmlformats.org/officeDocument/2006/relationships/hyperlink" Target="../MANUALS/2.%20IRENES%20WISDOM/4.%20IRENES%20WISDOM-RULE/6.Machinery/M-52%20SEWAGE%20TREATMENT%20PLANT.pdf" TargetMode="External"/><Relationship Id="rId444" Type="http://schemas.openxmlformats.org/officeDocument/2006/relationships/hyperlink" Target="../MANUALS/2.%20IRENES%20WISDOM/4.%20IRENES%20WISDOM-RULE/7.Electric/E-33,34,35,36,39,40,44,45,62,63%20JRC/2DJ-3533_SPEED%20LOG_JLN-720(E)7ZPNA3206(V2)%20INSTRUCTION%20191008.pdf" TargetMode="External"/><Relationship Id="rId290" Type="http://schemas.openxmlformats.org/officeDocument/2006/relationships/hyperlink" Target="../MANUALS/2.%20IRENES%20WISDOM/4.%20IRENES%20WISDOM-RULE/6.Machinery/M-40%20SHAFT%20EARTHING%20DEVICE/4193,94,%204232%20~%20235%20SED%20F.pdf" TargetMode="External"/><Relationship Id="rId304" Type="http://schemas.openxmlformats.org/officeDocument/2006/relationships/hyperlink" Target="../MANUALS/2.%20IRENES%20WISDOM/4.%20IRENES%20WISDOM-RULE/6.Machinery/M-41%20DIESEL%20GENERATOR%20ENGINE/2/data/Vol.%201.pdf" TargetMode="External"/><Relationship Id="rId388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54%20BRIDGE%20CONTROL%20CONSOLE&amp;View=%7BB2C268B8%2DAED3%2D4876%2D837F%2DD0E595242160%7D" TargetMode="External"/><Relationship Id="rId511" Type="http://schemas.openxmlformats.org/officeDocument/2006/relationships/hyperlink" Target="../MANUALS/2.%20IRENES%20WISDOM/4.%20IRENES%20WISDOM-RULE/5.Hull%20Piping/P-18%20EMERGENCY%20FIRE%20PUMP/INSTRUCTION%20MANUAL%20(three%20rotor%20screw%20pumps%20_MSDK-M,HM)%20.pdf" TargetMode="External"/><Relationship Id="rId85" Type="http://schemas.openxmlformats.org/officeDocument/2006/relationships/hyperlink" Target="../MANUALS/2.%20IRENES%20WISDOM/4.%20IRENES%20WISDOM-RULE/3.Hull%20Outfitting/F-30%20DECK%20MACHINERY.pdf" TargetMode="External"/><Relationship Id="rId150" Type="http://schemas.openxmlformats.org/officeDocument/2006/relationships/hyperlink" Target="../MANUALS/2.%20IRENES%20WISDOM/4.%20IRENES%20WISDOM-RULE/4.Accommodation/A-9_LADDER%20AND%20RAIL%20IN%20ACCOMMODATION%20.pdf" TargetMode="External"/><Relationship Id="rId248" Type="http://schemas.openxmlformats.org/officeDocument/2006/relationships/hyperlink" Target="../MANUALS/2.%20IRENES%20WISDOM/4.%20IRENES%20WISDOM-RULE/6.Machinery/M-62%20COMPOSITE%20BOILER.pdf" TargetMode="External"/><Relationship Id="rId455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53%2C58%20ER%20ALARM%20%26%20MONITORING%20SYS%2FManuals&amp;View=%7BB2C268B8%2DAED3%2D4876%2D837F%2DD0E595242160%7D" TargetMode="External"/><Relationship Id="rId12" Type="http://schemas.openxmlformats.org/officeDocument/2006/relationships/hyperlink" Target="../MANUALS/2.%20IRENES%20WISDOM/4.%20IRENES%20WISDOM-RULE/1.Basic/B-1_FINAL%20DRAWING%20%26%20MANUAL%20LIST.pdf" TargetMode="External"/><Relationship Id="rId108" Type="http://schemas.openxmlformats.org/officeDocument/2006/relationships/hyperlink" Target="../MANUALS/2.%20IRENES%20WISDOM/4.%20IRENES%20WISDOM-RULE/3.Hull%20Outfitting/F-41%20LIFE%20SAVING%20APPLIANCE/H4193%20LSA%20FINAL_2022.11.09.pdf" TargetMode="External"/><Relationship Id="rId315" Type="http://schemas.openxmlformats.org/officeDocument/2006/relationships/hyperlink" Target="../MANUALS/2.%20IRENES%20WISDOM/4.%20IRENES%20WISDOM-RULE/6.Machinery/M-44,45%20ER%20CENTRIFUGAL%20PUMP/INSTRUCTION%20MANUAL%20(one%20screw%20pumps)%20.pdf" TargetMode="External"/><Relationship Id="rId522" Type="http://schemas.openxmlformats.org/officeDocument/2006/relationships/hyperlink" Target="https://dasoulutions.sharepoint.com/:x:/s/ANCHOOREDDATASOLUTIONS/IQDVqA0UcwnVSr_4SwkqARbhAUqLNQHHnpu6hvtTIsQGQd0?e=8hI4cW" TargetMode="External"/><Relationship Id="rId96" Type="http://schemas.openxmlformats.org/officeDocument/2006/relationships/hyperlink" Target="../MANUALS/2.%20IRENES%20WISDOM/4.%20IRENES%20WISDOM-RULE/3.Hull%20Outfitting/F-40%20LIFE%20RAFT.pdf" TargetMode="External"/><Relationship Id="rId161" Type="http://schemas.openxmlformats.org/officeDocument/2006/relationships/hyperlink" Target="../MANUALS/2.%20IRENES%20WISDOM/4.%20IRENES%20WISDOM-RULE/5.Hull%20Piping/P-11_ONBOARD%20TEST%20PROCEDURE(PIPING%20PART).pdf" TargetMode="External"/><Relationship Id="rId399" Type="http://schemas.openxmlformats.org/officeDocument/2006/relationships/hyperlink" Target="../MANUALS/2.%20IRENES%20WISDOM/4.%20IRENES%20WISDOM-RULE/7.Electric/E-69%20GROUP%20STARTER%20%26%20220V%20FEEDER%20PANEL.pdf" TargetMode="External"/><Relationship Id="rId259" Type="http://schemas.openxmlformats.org/officeDocument/2006/relationships/hyperlink" Target="../MANUALS/2.%20IRENES%20WISDOM/4.%20IRENES%20WISDOM-RULE/6.Machinery/M-29,30%20PRESSURE%20CONTROL%20VALVE/MANUAL/Control%20Valve%20Manual.pdf" TargetMode="External"/><Relationship Id="rId466" Type="http://schemas.openxmlformats.org/officeDocument/2006/relationships/hyperlink" Target="../../../../../../Forms/AllItems.aspx?RootFolder=/sites%2FANCHOOREDDATASOLUTIONS%2FShared%20Documents%2FDATA%20ANCHOR%2FVESSELS%2FDANAOS%20%2D%20GREECE%2FTSAKOS%20SHIPPING%20%2810%2D09%2D2026%29%2FC%2EV%2E%20IRENES%20WISDOM%5F203%5F%2810%2D09%2D2026%29%2FMANUALS%2F2%2E%20IRENES%20WISDOM%2F4%2E%20IRENES%20WISDOM%2DRULE%2F7%2EElectric%2FE%2D78%20EM%27CY%20DIESEL%20GENERATOR%20SET%2F1%2E%20Specification&amp;View=%7BB2C268B8%2DAED3%2D4876%2D837F%2DD0E595242160%7D" TargetMode="External"/><Relationship Id="rId23" Type="http://schemas.openxmlformats.org/officeDocument/2006/relationships/hyperlink" Target="../MANUALS/2.%20IRENES%20WISDOM/4.%20IRENES%20WISDOM-RULE/1.Basic/B-2_GENERAL%20ARRANGEMENT.pdf" TargetMode="External"/><Relationship Id="rId119" Type="http://schemas.openxmlformats.org/officeDocument/2006/relationships/hyperlink" Target="../MANUALS/2.%20IRENES%20WISDOM/4.%20IRENES%20WISDOM-RULE/4.Accommodation/A-16_ARRG%27T%20OF%20EM%27CY%20GENERATOR%20ROOM.pdf" TargetMode="External"/><Relationship Id="rId326" Type="http://schemas.openxmlformats.org/officeDocument/2006/relationships/hyperlink" Target="../MANUALS/2.%20IRENES%20WISDOM/4.%20IRENES%20WISDOM-RULE/6.Machinery/M-46%20PURIFIER/9.%20miscellaneous.pdf" TargetMode="External"/><Relationship Id="rId533" Type="http://schemas.openxmlformats.org/officeDocument/2006/relationships/hyperlink" Target="https://dasoulutions.sharepoint.com/:x:/s/ANCHOOREDDATASOLUTIONS/IQCDBL_JX0OFRobFPdQ2X2tNATJu5q4tVBgrCIjZd-EUhe4?e=5c3DXF" TargetMode="External"/><Relationship Id="rId172" Type="http://schemas.openxmlformats.org/officeDocument/2006/relationships/hyperlink" Target="../MANUALS/2.%20IRENES%20WISDOM/4.%20IRENES%20WISDOM-RULE/5.Hull%20Piping/P-21%20ANTI-HEELING%20PUMP.pdf" TargetMode="External"/><Relationship Id="rId477" Type="http://schemas.openxmlformats.org/officeDocument/2006/relationships/hyperlink" Target="../MANUALS/2.%20IRENES%20WISDOM/4.%20IRENES%20WISDOM-RULE/7.Electric/E-78%20EM%27CY%20DIESEL%20GENERATOR%20SET/3.%20Alternator/3-1.%20Installation%20and%20maintenance%20for%20LSAM%2046.3.pdf" TargetMode="External"/><Relationship Id="rId337" Type="http://schemas.openxmlformats.org/officeDocument/2006/relationships/hyperlink" Target="../MANUALS/2.%20IRENES%20WISDOM/4.%20IRENES%20WISDOM-RULE/6.Machinery/M-48%20AIR%20COMPRESSOR/2/NeX-A.pdf" TargetMode="External"/><Relationship Id="rId34" Type="http://schemas.openxmlformats.org/officeDocument/2006/relationships/hyperlink" Target="../MANUALS/2.%20IRENES%20WISDOM/4.%20IRENES%20WISDOM-RULE/1.Basic/B-9_IMO%20NUMBER%20%26%20NET%20TONNAGE%20MARK%20PLAN.pdf" TargetMode="External"/><Relationship Id="rId544" Type="http://schemas.openxmlformats.org/officeDocument/2006/relationships/hyperlink" Target="https://dasoulutions.sharepoint.com/:x:/s/ANCHOOREDDATASOLUTIONS/IQBC15c-mUbYQYOOuUMQGSYZAfSD0Pi-lxGrX0tBdTkIhSM?e=bAniC0" TargetMode="External"/><Relationship Id="rId183" Type="http://schemas.openxmlformats.org/officeDocument/2006/relationships/hyperlink" Target="../MANUALS/2.%20IRENES%20WISDOM/4.%20IRENES%20WISDOM-RULE/5.Hull%20Piping/P-18%20EMERGENCY%20FIRE%20PUMP/H4193%20FINISHED%20DWG_EMERGENCY%20FIRE%20PUMP(220914).pdf" TargetMode="External"/><Relationship Id="rId390" Type="http://schemas.openxmlformats.org/officeDocument/2006/relationships/hyperlink" Target="../MANUALS/2.%20IRENES%20WISDOM/4.%20IRENES%20WISDOM-RULE/7.Electric/E-56%20BRIDGE%20WING%20CONTROL%20CONSOLE.pdf" TargetMode="External"/><Relationship Id="rId404" Type="http://schemas.openxmlformats.org/officeDocument/2006/relationships/hyperlink" Target="../MANUALS/2.%20IRENES%20WISDOM/4.%20IRENES%20WISDOM-RULE/7.Electric/E-73%20WH%20GROUP%20CONTROL%20PANE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1DF5-94FC-439F-A344-E44E06A335D0}">
  <dimension ref="A1:BE511"/>
  <sheetViews>
    <sheetView tabSelected="1" topLeftCell="J6" zoomScale="115" zoomScaleNormal="115" workbookViewId="0">
      <pane ySplit="1" topLeftCell="A7" activePane="bottomLeft" state="frozen"/>
      <selection pane="bottomLeft" activeCell="N20" sqref="N20"/>
    </sheetView>
  </sheetViews>
  <sheetFormatPr defaultColWidth="9.140625" defaultRowHeight="15" x14ac:dyDescent="0.25"/>
  <cols>
    <col min="1" max="2" width="9.140625" style="56" customWidth="1"/>
    <col min="3" max="3" width="50.5703125" style="56" customWidth="1"/>
    <col min="4" max="4" width="9.85546875" style="56" customWidth="1"/>
    <col min="5" max="5" width="13.42578125" style="56" customWidth="1"/>
    <col min="6" max="11" width="9.140625" style="56" customWidth="1"/>
    <col min="12" max="12" width="9.140625" style="57" customWidth="1"/>
    <col min="13" max="13" width="24.42578125" style="56" customWidth="1"/>
    <col min="14" max="14" width="39.85546875" style="56" customWidth="1"/>
    <col min="15" max="15" width="9.140625" style="71" hidden="1" customWidth="1"/>
    <col min="16" max="16" width="9.140625" style="57" hidden="1" customWidth="1"/>
    <col min="17" max="19" width="9.140625" style="56" hidden="1" customWidth="1"/>
    <col min="20" max="20" width="9.140625" style="57" hidden="1" customWidth="1"/>
    <col min="21" max="21" width="9.140625" style="56" hidden="1" customWidth="1"/>
    <col min="22" max="22" width="33" style="56" hidden="1" customWidth="1"/>
    <col min="23" max="23" width="32.42578125" style="56" hidden="1" customWidth="1"/>
    <col min="24" max="24" width="30.28515625" style="56" hidden="1" customWidth="1"/>
    <col min="25" max="25" width="27.5703125" style="56" hidden="1" customWidth="1"/>
    <col min="26" max="26" width="28" style="56" hidden="1" customWidth="1"/>
    <col min="27" max="27" width="30.7109375" style="56" hidden="1" customWidth="1"/>
    <col min="28" max="28" width="29.5703125" style="56" hidden="1" customWidth="1"/>
    <col min="29" max="29" width="27.5703125" style="56" hidden="1" customWidth="1"/>
    <col min="30" max="30" width="24.7109375" style="56" hidden="1" customWidth="1"/>
    <col min="31" max="31" width="25.140625" style="56" hidden="1" customWidth="1"/>
    <col min="32" max="32" width="34.140625" style="56" hidden="1" customWidth="1"/>
    <col min="33" max="33" width="32.85546875" style="56" hidden="1" customWidth="1"/>
    <col min="34" max="34" width="30.85546875" style="56" hidden="1" customWidth="1"/>
    <col min="35" max="35" width="28" style="56" hidden="1" customWidth="1"/>
    <col min="36" max="36" width="28.42578125" style="56" hidden="1" customWidth="1"/>
    <col min="37" max="40" width="9.140625" style="56" customWidth="1"/>
    <col min="41" max="41" width="10.85546875" style="56" customWidth="1"/>
    <col min="42" max="42" width="11.140625" style="56" customWidth="1"/>
    <col min="43" max="57" width="9.140625" style="56" customWidth="1"/>
    <col min="58" max="58" width="9.140625" style="52" customWidth="1"/>
    <col min="59" max="16383" width="9.140625" style="52"/>
    <col min="16384" max="16384" width="9.140625" style="52" bestFit="1" customWidth="1"/>
  </cols>
  <sheetData>
    <row r="1" spans="1:57" s="21" customFormat="1" x14ac:dyDescent="0.25">
      <c r="A1" s="17" t="s">
        <v>0</v>
      </c>
      <c r="B1" s="18" t="s">
        <v>1</v>
      </c>
      <c r="C1" s="19" t="s">
        <v>2</v>
      </c>
      <c r="D1" s="20"/>
      <c r="H1" s="22"/>
      <c r="J1" s="22"/>
      <c r="L1" s="23"/>
      <c r="O1" s="23"/>
      <c r="P1" s="23"/>
      <c r="R1" s="22"/>
      <c r="T1" s="23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BA1" s="24"/>
    </row>
    <row r="2" spans="1:57" s="21" customFormat="1" x14ac:dyDescent="0.25">
      <c r="A2" s="17" t="s">
        <v>3</v>
      </c>
      <c r="B2" s="18"/>
      <c r="C2" s="31"/>
      <c r="D2" s="31"/>
      <c r="H2" s="22"/>
      <c r="J2" s="25"/>
      <c r="K2" s="26"/>
      <c r="L2" s="27"/>
      <c r="M2" s="26"/>
      <c r="N2" s="26"/>
      <c r="O2" s="27"/>
      <c r="P2" s="27"/>
      <c r="Q2" s="26"/>
      <c r="R2" s="26"/>
      <c r="S2" s="26"/>
      <c r="T2" s="27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5"/>
      <c r="AM2" s="25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8"/>
      <c r="BB2" s="26"/>
      <c r="BC2" s="29"/>
      <c r="BD2" s="25"/>
      <c r="BE2" s="26"/>
    </row>
    <row r="3" spans="1:57" s="21" customFormat="1" x14ac:dyDescent="0.25">
      <c r="A3" s="17" t="s">
        <v>4</v>
      </c>
      <c r="B3" s="18" t="s">
        <v>5</v>
      </c>
      <c r="C3" s="19" t="s">
        <v>6</v>
      </c>
      <c r="D3" s="20"/>
      <c r="H3" s="22"/>
      <c r="J3" s="25"/>
      <c r="K3" s="26"/>
      <c r="L3" s="27"/>
      <c r="M3" s="26"/>
      <c r="N3" s="26"/>
      <c r="O3" s="27"/>
      <c r="P3" s="27"/>
      <c r="Q3" s="26"/>
      <c r="R3" s="26"/>
      <c r="S3" s="26"/>
      <c r="T3" s="27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5"/>
      <c r="AM3" s="25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8"/>
      <c r="BB3" s="26"/>
      <c r="BC3" s="29"/>
      <c r="BD3" s="26"/>
    </row>
    <row r="4" spans="1:57" s="21" customFormat="1" x14ac:dyDescent="0.25">
      <c r="A4" s="17" t="s">
        <v>7</v>
      </c>
      <c r="B4" s="30">
        <v>203</v>
      </c>
      <c r="C4" s="31"/>
      <c r="D4" s="31"/>
      <c r="H4" s="22"/>
      <c r="J4" s="25"/>
      <c r="K4" s="26"/>
      <c r="L4" s="27"/>
      <c r="M4" s="26"/>
      <c r="N4" s="26"/>
      <c r="O4" s="27"/>
      <c r="P4" s="27"/>
      <c r="Q4" s="26"/>
      <c r="R4" s="26"/>
      <c r="S4" s="26"/>
      <c r="T4" s="27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5"/>
      <c r="AM4" s="25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8"/>
      <c r="BB4" s="26"/>
      <c r="BC4" s="29"/>
      <c r="BD4" s="26"/>
      <c r="BE4" s="26"/>
    </row>
    <row r="5" spans="1:57" s="21" customFormat="1" x14ac:dyDescent="0.25">
      <c r="A5" s="17" t="s">
        <v>8</v>
      </c>
      <c r="B5" s="5" t="s">
        <v>9</v>
      </c>
      <c r="C5" s="31"/>
      <c r="D5" s="31"/>
      <c r="H5" s="22"/>
      <c r="J5" s="25"/>
      <c r="K5" s="26"/>
      <c r="L5" s="27"/>
      <c r="M5" s="26"/>
      <c r="N5" s="26"/>
      <c r="O5" s="27"/>
      <c r="P5" s="27"/>
      <c r="Q5" s="26"/>
      <c r="R5" s="26"/>
      <c r="S5" s="26"/>
      <c r="T5" s="27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5"/>
      <c r="AM5" s="25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8"/>
      <c r="BB5" s="26"/>
      <c r="BC5" s="29"/>
      <c r="BE5" s="26"/>
    </row>
    <row r="6" spans="1:57" s="40" customFormat="1" x14ac:dyDescent="0.25">
      <c r="A6" s="8" t="s">
        <v>10</v>
      </c>
      <c r="B6" s="8" t="s">
        <v>11</v>
      </c>
      <c r="C6" s="8" t="s">
        <v>12</v>
      </c>
      <c r="D6" s="8" t="s">
        <v>13</v>
      </c>
      <c r="E6" s="32" t="s">
        <v>14</v>
      </c>
      <c r="F6" s="33" t="s">
        <v>15</v>
      </c>
      <c r="G6" s="33" t="s">
        <v>16</v>
      </c>
      <c r="H6" s="34" t="s">
        <v>17</v>
      </c>
      <c r="I6" s="33" t="s">
        <v>18</v>
      </c>
      <c r="J6" s="35" t="s">
        <v>19</v>
      </c>
      <c r="K6" s="35" t="s">
        <v>20</v>
      </c>
      <c r="L6" s="35" t="s">
        <v>21</v>
      </c>
      <c r="M6" s="36" t="s">
        <v>22</v>
      </c>
      <c r="N6" s="68" t="s">
        <v>23</v>
      </c>
      <c r="O6" s="38" t="s">
        <v>24</v>
      </c>
      <c r="P6" s="38" t="s">
        <v>25</v>
      </c>
      <c r="Q6" s="38" t="s">
        <v>26</v>
      </c>
      <c r="R6" s="38" t="s">
        <v>27</v>
      </c>
      <c r="S6" s="37" t="s">
        <v>28</v>
      </c>
      <c r="T6" s="37" t="s">
        <v>29</v>
      </c>
      <c r="U6" s="37" t="s">
        <v>30</v>
      </c>
      <c r="V6" s="39" t="s">
        <v>31</v>
      </c>
      <c r="W6" s="39" t="s">
        <v>32</v>
      </c>
      <c r="X6" s="39" t="s">
        <v>33</v>
      </c>
      <c r="Y6" s="39" t="s">
        <v>34</v>
      </c>
      <c r="Z6" s="39" t="s">
        <v>35</v>
      </c>
      <c r="AA6" s="39" t="s">
        <v>36</v>
      </c>
      <c r="AB6" s="39" t="s">
        <v>37</v>
      </c>
      <c r="AC6" s="39" t="s">
        <v>38</v>
      </c>
      <c r="AD6" s="39" t="s">
        <v>39</v>
      </c>
      <c r="AE6" s="39" t="s">
        <v>40</v>
      </c>
      <c r="AF6" s="39" t="s">
        <v>41</v>
      </c>
      <c r="AG6" s="39" t="s">
        <v>42</v>
      </c>
      <c r="AH6" s="39" t="s">
        <v>43</v>
      </c>
      <c r="AI6" s="39" t="s">
        <v>44</v>
      </c>
      <c r="AJ6" s="39" t="s">
        <v>45</v>
      </c>
      <c r="AK6" s="37" t="s">
        <v>46</v>
      </c>
      <c r="AL6" s="37" t="s">
        <v>47</v>
      </c>
      <c r="AM6" s="37" t="s">
        <v>48</v>
      </c>
      <c r="AN6" s="37" t="s">
        <v>49</v>
      </c>
      <c r="AO6" s="37" t="s">
        <v>50</v>
      </c>
      <c r="AP6" s="37" t="s">
        <v>51</v>
      </c>
      <c r="AQ6" s="37" t="s">
        <v>52</v>
      </c>
      <c r="AR6" s="37" t="s">
        <v>53</v>
      </c>
      <c r="AS6" s="37" t="s">
        <v>54</v>
      </c>
      <c r="AT6" s="37" t="s">
        <v>55</v>
      </c>
      <c r="AU6" s="37" t="s">
        <v>56</v>
      </c>
      <c r="AV6" s="37" t="s">
        <v>57</v>
      </c>
      <c r="AW6" s="37" t="s">
        <v>58</v>
      </c>
      <c r="AX6" s="37" t="s">
        <v>59</v>
      </c>
      <c r="AY6" s="37" t="s">
        <v>60</v>
      </c>
      <c r="AZ6" s="37" t="s">
        <v>61</v>
      </c>
      <c r="BA6" s="37" t="s">
        <v>62</v>
      </c>
      <c r="BB6" s="37" t="s">
        <v>63</v>
      </c>
      <c r="BC6" s="37" t="s">
        <v>64</v>
      </c>
      <c r="BD6" s="33" t="s">
        <v>65</v>
      </c>
      <c r="BE6" s="33" t="s">
        <v>66</v>
      </c>
    </row>
    <row r="7" spans="1:57" s="47" customFormat="1" x14ac:dyDescent="0.25">
      <c r="A7" s="41">
        <v>1</v>
      </c>
      <c r="B7" s="42" t="s">
        <v>67</v>
      </c>
      <c r="C7" s="43" t="s">
        <v>68</v>
      </c>
      <c r="D7" s="44" t="s">
        <v>69</v>
      </c>
      <c r="E7" s="45" t="s">
        <v>70</v>
      </c>
      <c r="F7" s="44" t="s">
        <v>70</v>
      </c>
      <c r="G7" s="44" t="s">
        <v>70</v>
      </c>
      <c r="H7" s="44" t="s">
        <v>70</v>
      </c>
      <c r="I7" s="44" t="s">
        <v>70</v>
      </c>
      <c r="J7" s="44" t="s">
        <v>70</v>
      </c>
      <c r="K7" s="44" t="s">
        <v>70</v>
      </c>
      <c r="L7" s="44" t="s">
        <v>70</v>
      </c>
      <c r="M7" s="45" t="s">
        <v>70</v>
      </c>
      <c r="N7" s="44" t="s">
        <v>70</v>
      </c>
      <c r="O7" s="67"/>
      <c r="P7" s="46"/>
      <c r="Q7" s="41"/>
      <c r="R7" s="41"/>
      <c r="S7" s="41"/>
      <c r="T7" s="46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</row>
    <row r="8" spans="1:57" x14ac:dyDescent="0.25">
      <c r="A8" s="9">
        <v>2</v>
      </c>
      <c r="B8" s="48" t="s">
        <v>67</v>
      </c>
      <c r="C8" s="49" t="s">
        <v>71</v>
      </c>
      <c r="D8" s="6" t="s">
        <v>69</v>
      </c>
      <c r="E8" s="50" t="s">
        <v>72</v>
      </c>
      <c r="F8" s="51" t="s">
        <v>73</v>
      </c>
      <c r="G8" s="9"/>
      <c r="H8" s="9" t="s">
        <v>74</v>
      </c>
      <c r="I8" s="9" t="s">
        <v>74</v>
      </c>
      <c r="J8" s="9" t="s">
        <v>74</v>
      </c>
      <c r="K8" s="9" t="s">
        <v>75</v>
      </c>
      <c r="L8" s="9" t="s">
        <v>76</v>
      </c>
      <c r="M8" s="53" t="s">
        <v>77</v>
      </c>
      <c r="N8" s="9" t="s">
        <v>78</v>
      </c>
      <c r="O8" s="70"/>
      <c r="P8" s="13"/>
      <c r="Q8" s="10"/>
      <c r="R8" s="10"/>
      <c r="S8" s="10"/>
      <c r="T8" s="13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</row>
    <row r="9" spans="1:57" s="47" customFormat="1" x14ac:dyDescent="0.25">
      <c r="A9" s="41">
        <v>3</v>
      </c>
      <c r="B9" s="42" t="s">
        <v>79</v>
      </c>
      <c r="C9" s="43" t="s">
        <v>80</v>
      </c>
      <c r="D9" s="44" t="s">
        <v>69</v>
      </c>
      <c r="E9" s="45" t="s">
        <v>70</v>
      </c>
      <c r="F9" s="44" t="s">
        <v>70</v>
      </c>
      <c r="G9" s="44" t="s">
        <v>70</v>
      </c>
      <c r="H9" s="44" t="s">
        <v>70</v>
      </c>
      <c r="I9" s="44" t="s">
        <v>70</v>
      </c>
      <c r="J9" s="44" t="s">
        <v>70</v>
      </c>
      <c r="K9" s="44" t="s">
        <v>70</v>
      </c>
      <c r="L9" s="44" t="s">
        <v>70</v>
      </c>
      <c r="M9" s="45" t="s">
        <v>70</v>
      </c>
      <c r="N9" s="44" t="s">
        <v>70</v>
      </c>
      <c r="O9" s="67"/>
      <c r="P9" s="46"/>
      <c r="Q9" s="41"/>
      <c r="R9" s="41"/>
      <c r="S9" s="41"/>
      <c r="T9" s="46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</row>
    <row r="10" spans="1:57" s="47" customFormat="1" x14ac:dyDescent="0.25">
      <c r="A10" s="41">
        <v>4</v>
      </c>
      <c r="B10" s="42" t="s">
        <v>81</v>
      </c>
      <c r="C10" s="43" t="s">
        <v>82</v>
      </c>
      <c r="D10" s="44" t="s">
        <v>69</v>
      </c>
      <c r="E10" s="45" t="s">
        <v>70</v>
      </c>
      <c r="F10" s="44" t="s">
        <v>70</v>
      </c>
      <c r="G10" s="44" t="s">
        <v>70</v>
      </c>
      <c r="H10" s="44" t="s">
        <v>70</v>
      </c>
      <c r="I10" s="44" t="s">
        <v>70</v>
      </c>
      <c r="J10" s="44" t="s">
        <v>70</v>
      </c>
      <c r="K10" s="44" t="s">
        <v>70</v>
      </c>
      <c r="L10" s="44" t="s">
        <v>70</v>
      </c>
      <c r="M10" s="45" t="s">
        <v>70</v>
      </c>
      <c r="N10" s="44" t="s">
        <v>70</v>
      </c>
      <c r="O10" s="67"/>
      <c r="P10" s="46"/>
      <c r="Q10" s="41"/>
      <c r="R10" s="41"/>
      <c r="S10" s="41"/>
      <c r="T10" s="46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</row>
    <row r="11" spans="1:57" s="47" customFormat="1" x14ac:dyDescent="0.25">
      <c r="A11" s="41">
        <v>5</v>
      </c>
      <c r="B11" s="42" t="s">
        <v>81</v>
      </c>
      <c r="C11" s="43" t="s">
        <v>83</v>
      </c>
      <c r="D11" s="44" t="s">
        <v>69</v>
      </c>
      <c r="E11" s="45" t="s">
        <v>70</v>
      </c>
      <c r="F11" s="44" t="s">
        <v>70</v>
      </c>
      <c r="G11" s="44" t="s">
        <v>70</v>
      </c>
      <c r="H11" s="44" t="s">
        <v>70</v>
      </c>
      <c r="I11" s="44" t="s">
        <v>70</v>
      </c>
      <c r="J11" s="44" t="s">
        <v>70</v>
      </c>
      <c r="K11" s="44" t="s">
        <v>70</v>
      </c>
      <c r="L11" s="44" t="s">
        <v>70</v>
      </c>
      <c r="M11" s="45" t="s">
        <v>70</v>
      </c>
      <c r="N11" s="44" t="s">
        <v>70</v>
      </c>
      <c r="O11" s="67"/>
      <c r="P11" s="46"/>
      <c r="Q11" s="41"/>
      <c r="R11" s="41"/>
      <c r="S11" s="41"/>
      <c r="T11" s="46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</row>
    <row r="12" spans="1:57" s="47" customFormat="1" x14ac:dyDescent="0.25">
      <c r="A12" s="41">
        <v>6</v>
      </c>
      <c r="B12" s="42" t="s">
        <v>81</v>
      </c>
      <c r="C12" s="43" t="s">
        <v>84</v>
      </c>
      <c r="D12" s="44" t="s">
        <v>69</v>
      </c>
      <c r="E12" s="45" t="s">
        <v>70</v>
      </c>
      <c r="F12" s="44" t="s">
        <v>70</v>
      </c>
      <c r="G12" s="44" t="s">
        <v>70</v>
      </c>
      <c r="H12" s="44" t="s">
        <v>70</v>
      </c>
      <c r="I12" s="44" t="s">
        <v>70</v>
      </c>
      <c r="J12" s="44" t="s">
        <v>70</v>
      </c>
      <c r="K12" s="44" t="s">
        <v>70</v>
      </c>
      <c r="L12" s="44" t="s">
        <v>70</v>
      </c>
      <c r="M12" s="45" t="s">
        <v>70</v>
      </c>
      <c r="N12" s="44" t="s">
        <v>70</v>
      </c>
      <c r="O12" s="67"/>
      <c r="P12" s="46"/>
      <c r="Q12" s="41"/>
      <c r="R12" s="41"/>
      <c r="S12" s="41"/>
      <c r="T12" s="46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</row>
    <row r="13" spans="1:57" s="47" customFormat="1" x14ac:dyDescent="0.25">
      <c r="A13" s="41">
        <v>7</v>
      </c>
      <c r="B13" s="42" t="s">
        <v>81</v>
      </c>
      <c r="C13" s="43" t="s">
        <v>85</v>
      </c>
      <c r="D13" s="44" t="s">
        <v>69</v>
      </c>
      <c r="E13" s="45" t="s">
        <v>70</v>
      </c>
      <c r="F13" s="44" t="s">
        <v>70</v>
      </c>
      <c r="G13" s="44" t="s">
        <v>70</v>
      </c>
      <c r="H13" s="44" t="s">
        <v>70</v>
      </c>
      <c r="I13" s="44" t="s">
        <v>70</v>
      </c>
      <c r="J13" s="44" t="s">
        <v>70</v>
      </c>
      <c r="K13" s="44" t="s">
        <v>70</v>
      </c>
      <c r="L13" s="44" t="s">
        <v>70</v>
      </c>
      <c r="M13" s="45" t="s">
        <v>70</v>
      </c>
      <c r="N13" s="44" t="s">
        <v>70</v>
      </c>
      <c r="O13" s="67"/>
      <c r="P13" s="46"/>
      <c r="Q13" s="41"/>
      <c r="R13" s="41"/>
      <c r="S13" s="41"/>
      <c r="T13" s="46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</row>
    <row r="14" spans="1:57" x14ac:dyDescent="0.25">
      <c r="A14" s="9">
        <v>8</v>
      </c>
      <c r="B14" s="48" t="s">
        <v>81</v>
      </c>
      <c r="C14" s="49" t="s">
        <v>86</v>
      </c>
      <c r="D14" s="6" t="s">
        <v>69</v>
      </c>
      <c r="E14" s="50" t="s">
        <v>72</v>
      </c>
      <c r="F14" s="51" t="s">
        <v>87</v>
      </c>
      <c r="G14" s="9"/>
      <c r="H14" s="9" t="s">
        <v>88</v>
      </c>
      <c r="I14" s="9" t="s">
        <v>74</v>
      </c>
      <c r="J14" s="9">
        <v>18</v>
      </c>
      <c r="K14" s="9" t="s">
        <v>89</v>
      </c>
      <c r="L14" s="9" t="s">
        <v>76</v>
      </c>
      <c r="M14" s="53" t="s">
        <v>77</v>
      </c>
      <c r="N14" s="9" t="s">
        <v>78</v>
      </c>
      <c r="O14" s="70"/>
      <c r="P14" s="13"/>
      <c r="Q14" s="10"/>
      <c r="R14" s="10"/>
      <c r="S14" s="10"/>
      <c r="T14" s="13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</row>
    <row r="15" spans="1:57" s="47" customFormat="1" x14ac:dyDescent="0.25">
      <c r="A15" s="41">
        <v>9</v>
      </c>
      <c r="B15" s="42" t="s">
        <v>81</v>
      </c>
      <c r="C15" s="43" t="s">
        <v>90</v>
      </c>
      <c r="D15" s="44" t="s">
        <v>69</v>
      </c>
      <c r="E15" s="45" t="s">
        <v>70</v>
      </c>
      <c r="F15" s="44" t="s">
        <v>70</v>
      </c>
      <c r="G15" s="44" t="s">
        <v>70</v>
      </c>
      <c r="H15" s="44" t="s">
        <v>70</v>
      </c>
      <c r="I15" s="44" t="s">
        <v>70</v>
      </c>
      <c r="J15" s="44" t="s">
        <v>70</v>
      </c>
      <c r="K15" s="44" t="s">
        <v>70</v>
      </c>
      <c r="L15" s="44" t="s">
        <v>70</v>
      </c>
      <c r="M15" s="45" t="s">
        <v>70</v>
      </c>
      <c r="N15" s="44" t="s">
        <v>70</v>
      </c>
      <c r="O15" s="67"/>
      <c r="P15" s="46"/>
      <c r="Q15" s="41"/>
      <c r="R15" s="41"/>
      <c r="S15" s="41"/>
      <c r="T15" s="46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</row>
    <row r="16" spans="1:57" s="47" customFormat="1" x14ac:dyDescent="0.25">
      <c r="A16" s="41">
        <v>10</v>
      </c>
      <c r="B16" s="42" t="s">
        <v>81</v>
      </c>
      <c r="C16" s="43" t="s">
        <v>91</v>
      </c>
      <c r="D16" s="44" t="s">
        <v>69</v>
      </c>
      <c r="E16" s="45" t="s">
        <v>70</v>
      </c>
      <c r="F16" s="44" t="s">
        <v>70</v>
      </c>
      <c r="G16" s="44" t="s">
        <v>70</v>
      </c>
      <c r="H16" s="44" t="s">
        <v>70</v>
      </c>
      <c r="I16" s="44" t="s">
        <v>70</v>
      </c>
      <c r="J16" s="44" t="s">
        <v>70</v>
      </c>
      <c r="K16" s="44" t="s">
        <v>70</v>
      </c>
      <c r="L16" s="44" t="s">
        <v>70</v>
      </c>
      <c r="M16" s="45" t="s">
        <v>70</v>
      </c>
      <c r="N16" s="44" t="s">
        <v>70</v>
      </c>
      <c r="O16" s="67"/>
      <c r="P16" s="46"/>
      <c r="Q16" s="41"/>
      <c r="R16" s="41"/>
      <c r="S16" s="41"/>
      <c r="T16" s="46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</row>
    <row r="17" spans="1:57" s="47" customFormat="1" x14ac:dyDescent="0.25">
      <c r="A17" s="41">
        <v>11</v>
      </c>
      <c r="B17" s="42" t="s">
        <v>81</v>
      </c>
      <c r="C17" s="43" t="s">
        <v>92</v>
      </c>
      <c r="D17" s="44" t="s">
        <v>69</v>
      </c>
      <c r="E17" s="45" t="s">
        <v>70</v>
      </c>
      <c r="F17" s="44" t="s">
        <v>70</v>
      </c>
      <c r="G17" s="44" t="s">
        <v>70</v>
      </c>
      <c r="H17" s="44" t="s">
        <v>70</v>
      </c>
      <c r="I17" s="44" t="s">
        <v>70</v>
      </c>
      <c r="J17" s="44" t="s">
        <v>70</v>
      </c>
      <c r="K17" s="44" t="s">
        <v>70</v>
      </c>
      <c r="L17" s="44" t="s">
        <v>70</v>
      </c>
      <c r="M17" s="45" t="s">
        <v>70</v>
      </c>
      <c r="N17" s="44" t="s">
        <v>70</v>
      </c>
      <c r="O17" s="67"/>
      <c r="P17" s="46"/>
      <c r="Q17" s="41"/>
      <c r="R17" s="41"/>
      <c r="S17" s="41"/>
      <c r="T17" s="46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</row>
    <row r="18" spans="1:57" x14ac:dyDescent="0.25">
      <c r="A18" s="9">
        <v>12</v>
      </c>
      <c r="B18" s="48" t="s">
        <v>93</v>
      </c>
      <c r="C18" s="49" t="s">
        <v>94</v>
      </c>
      <c r="D18" s="6" t="s">
        <v>69</v>
      </c>
      <c r="E18" s="50" t="s">
        <v>72</v>
      </c>
      <c r="F18" s="51" t="s">
        <v>87</v>
      </c>
      <c r="G18" s="9"/>
      <c r="H18" s="9" t="s">
        <v>88</v>
      </c>
      <c r="I18" s="9">
        <v>9953391</v>
      </c>
      <c r="J18" s="9">
        <v>18</v>
      </c>
      <c r="K18" s="9" t="s">
        <v>89</v>
      </c>
      <c r="L18" s="9" t="s">
        <v>76</v>
      </c>
      <c r="M18" s="53" t="s">
        <v>77</v>
      </c>
      <c r="N18" s="9" t="s">
        <v>78</v>
      </c>
      <c r="O18" s="70"/>
      <c r="P18" s="13"/>
      <c r="Q18" s="10"/>
      <c r="R18" s="10"/>
      <c r="S18" s="10"/>
      <c r="T18" s="13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</row>
    <row r="19" spans="1:57" x14ac:dyDescent="0.25">
      <c r="A19" s="9">
        <v>13</v>
      </c>
      <c r="B19" s="48" t="s">
        <v>93</v>
      </c>
      <c r="C19" s="49" t="s">
        <v>95</v>
      </c>
      <c r="D19" s="6" t="s">
        <v>69</v>
      </c>
      <c r="E19" s="50" t="s">
        <v>72</v>
      </c>
      <c r="F19" s="51" t="s">
        <v>87</v>
      </c>
      <c r="G19" s="9"/>
      <c r="H19" s="9" t="s">
        <v>88</v>
      </c>
      <c r="I19" s="9">
        <v>9953391</v>
      </c>
      <c r="J19" s="9">
        <v>280</v>
      </c>
      <c r="K19" s="9" t="s">
        <v>96</v>
      </c>
      <c r="L19" s="9" t="s">
        <v>97</v>
      </c>
      <c r="M19" s="53" t="s">
        <v>98</v>
      </c>
      <c r="N19" s="51" t="s">
        <v>99</v>
      </c>
      <c r="O19" s="70"/>
      <c r="P19" s="13"/>
      <c r="Q19" s="10"/>
      <c r="R19" s="10"/>
      <c r="S19" s="10"/>
      <c r="T19" s="13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9" t="s">
        <v>100</v>
      </c>
      <c r="AL19" s="10"/>
      <c r="AM19" s="9" t="s">
        <v>101</v>
      </c>
      <c r="AN19" s="10" t="s">
        <v>102</v>
      </c>
      <c r="AO19" s="72">
        <v>46281</v>
      </c>
      <c r="AP19" s="72">
        <v>46281</v>
      </c>
      <c r="AQ19" s="10">
        <v>26</v>
      </c>
      <c r="AR19" s="10" t="s">
        <v>103</v>
      </c>
      <c r="AS19" s="2" t="s">
        <v>104</v>
      </c>
      <c r="AT19" s="10"/>
      <c r="AU19" s="10"/>
      <c r="AV19" s="10"/>
      <c r="AW19" s="10"/>
      <c r="AX19" s="10"/>
      <c r="AY19" s="10" t="s">
        <v>105</v>
      </c>
      <c r="AZ19" s="72">
        <v>46283</v>
      </c>
      <c r="BA19" s="72">
        <v>46283</v>
      </c>
      <c r="BB19" s="10">
        <v>26</v>
      </c>
      <c r="BC19" s="10" t="s">
        <v>103</v>
      </c>
      <c r="BD19" s="10" t="s">
        <v>106</v>
      </c>
      <c r="BE19" s="82" t="s">
        <v>107</v>
      </c>
    </row>
    <row r="20" spans="1:57" x14ac:dyDescent="0.25">
      <c r="A20" s="9">
        <v>14</v>
      </c>
      <c r="B20" s="48" t="s">
        <v>93</v>
      </c>
      <c r="C20" s="49" t="s">
        <v>108</v>
      </c>
      <c r="D20" s="6" t="s">
        <v>69</v>
      </c>
      <c r="E20" s="50" t="s">
        <v>72</v>
      </c>
      <c r="F20" s="51" t="s">
        <v>87</v>
      </c>
      <c r="G20" s="9"/>
      <c r="H20" s="9">
        <v>4193</v>
      </c>
      <c r="I20" s="9">
        <v>9953391</v>
      </c>
      <c r="J20" s="9">
        <v>27</v>
      </c>
      <c r="K20" s="9" t="s">
        <v>89</v>
      </c>
      <c r="L20" s="9" t="s">
        <v>76</v>
      </c>
      <c r="M20" s="53" t="s">
        <v>109</v>
      </c>
      <c r="N20" s="51" t="s">
        <v>110</v>
      </c>
      <c r="O20" s="70"/>
      <c r="P20" s="13"/>
      <c r="Q20" s="10"/>
      <c r="R20" s="10"/>
      <c r="S20" s="10"/>
      <c r="T20" s="13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 spans="1:57" x14ac:dyDescent="0.25">
      <c r="A21" s="9">
        <v>15</v>
      </c>
      <c r="B21" s="48" t="s">
        <v>93</v>
      </c>
      <c r="C21" s="49" t="s">
        <v>111</v>
      </c>
      <c r="D21" s="6" t="s">
        <v>69</v>
      </c>
      <c r="E21" s="50" t="s">
        <v>72</v>
      </c>
      <c r="F21" s="51" t="s">
        <v>87</v>
      </c>
      <c r="G21" s="9"/>
      <c r="H21" s="9">
        <v>4193</v>
      </c>
      <c r="I21" s="9">
        <v>9953391</v>
      </c>
      <c r="J21" s="9">
        <v>372</v>
      </c>
      <c r="K21" s="9" t="s">
        <v>89</v>
      </c>
      <c r="L21" s="9" t="s">
        <v>76</v>
      </c>
      <c r="M21" s="53" t="s">
        <v>109</v>
      </c>
      <c r="N21" s="51" t="s">
        <v>112</v>
      </c>
      <c r="O21" s="70"/>
      <c r="P21" s="13"/>
      <c r="Q21" s="10"/>
      <c r="R21" s="10"/>
      <c r="S21" s="10"/>
      <c r="T21" s="13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</row>
    <row r="22" spans="1:57" x14ac:dyDescent="0.25">
      <c r="A22" s="9">
        <v>16</v>
      </c>
      <c r="B22" s="48" t="s">
        <v>93</v>
      </c>
      <c r="C22" s="49" t="s">
        <v>113</v>
      </c>
      <c r="D22" s="6" t="s">
        <v>69</v>
      </c>
      <c r="E22" s="50" t="s">
        <v>72</v>
      </c>
      <c r="F22" s="51" t="s">
        <v>87</v>
      </c>
      <c r="G22" s="9"/>
      <c r="H22" s="9">
        <v>4193</v>
      </c>
      <c r="I22" s="9">
        <v>9953391</v>
      </c>
      <c r="J22" s="9">
        <v>418</v>
      </c>
      <c r="K22" s="9" t="s">
        <v>89</v>
      </c>
      <c r="L22" s="9" t="s">
        <v>76</v>
      </c>
      <c r="M22" s="53" t="s">
        <v>109</v>
      </c>
      <c r="N22" s="3" t="s">
        <v>114</v>
      </c>
      <c r="O22" s="70"/>
      <c r="P22" s="13"/>
      <c r="Q22" s="10"/>
      <c r="R22" s="10"/>
      <c r="S22" s="10"/>
      <c r="T22" s="13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spans="1:57" x14ac:dyDescent="0.25">
      <c r="A23" s="9">
        <v>17</v>
      </c>
      <c r="B23" s="48" t="s">
        <v>93</v>
      </c>
      <c r="C23" s="49" t="s">
        <v>115</v>
      </c>
      <c r="D23" s="6" t="s">
        <v>69</v>
      </c>
      <c r="E23" s="50" t="s">
        <v>72</v>
      </c>
      <c r="F23" s="51" t="s">
        <v>87</v>
      </c>
      <c r="G23" s="9"/>
      <c r="H23" s="9" t="s">
        <v>116</v>
      </c>
      <c r="I23" s="9" t="s">
        <v>117</v>
      </c>
      <c r="J23" s="9">
        <v>11</v>
      </c>
      <c r="K23" s="9" t="s">
        <v>89</v>
      </c>
      <c r="L23" s="9" t="s">
        <v>76</v>
      </c>
      <c r="M23" s="53" t="s">
        <v>109</v>
      </c>
      <c r="N23" s="3" t="s">
        <v>118</v>
      </c>
      <c r="O23" s="70"/>
      <c r="P23" s="13"/>
      <c r="Q23" s="10"/>
      <c r="R23" s="10"/>
      <c r="S23" s="10"/>
      <c r="T23" s="13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</row>
    <row r="24" spans="1:57" x14ac:dyDescent="0.25">
      <c r="A24" s="9">
        <v>18</v>
      </c>
      <c r="B24" s="48" t="s">
        <v>93</v>
      </c>
      <c r="C24" s="49" t="s">
        <v>119</v>
      </c>
      <c r="D24" s="6" t="s">
        <v>69</v>
      </c>
      <c r="E24" s="50" t="s">
        <v>72</v>
      </c>
      <c r="F24" s="51" t="s">
        <v>87</v>
      </c>
      <c r="G24" s="9"/>
      <c r="H24" s="9" t="s">
        <v>88</v>
      </c>
      <c r="I24" s="9" t="s">
        <v>117</v>
      </c>
      <c r="J24" s="9">
        <v>10</v>
      </c>
      <c r="K24" s="9" t="s">
        <v>89</v>
      </c>
      <c r="L24" s="9" t="s">
        <v>76</v>
      </c>
      <c r="M24" s="53" t="s">
        <v>109</v>
      </c>
      <c r="N24" s="3" t="s">
        <v>118</v>
      </c>
      <c r="O24" s="70"/>
      <c r="P24" s="13"/>
      <c r="Q24" s="10"/>
      <c r="R24" s="10"/>
      <c r="S24" s="10"/>
      <c r="T24" s="13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</row>
    <row r="25" spans="1:57" x14ac:dyDescent="0.25">
      <c r="A25" s="9">
        <v>19</v>
      </c>
      <c r="B25" s="48" t="s">
        <v>93</v>
      </c>
      <c r="C25" s="49" t="s">
        <v>120</v>
      </c>
      <c r="D25" s="6" t="s">
        <v>69</v>
      </c>
      <c r="E25" s="50" t="s">
        <v>72</v>
      </c>
      <c r="F25" s="51" t="s">
        <v>87</v>
      </c>
      <c r="G25" s="9"/>
      <c r="H25" s="9">
        <v>4193</v>
      </c>
      <c r="I25" s="9">
        <v>9953391</v>
      </c>
      <c r="J25" s="9">
        <v>396</v>
      </c>
      <c r="K25" s="9" t="s">
        <v>89</v>
      </c>
      <c r="L25" s="9" t="s">
        <v>76</v>
      </c>
      <c r="M25" s="53" t="s">
        <v>121</v>
      </c>
      <c r="N25" s="51" t="s">
        <v>122</v>
      </c>
      <c r="O25" s="70"/>
      <c r="P25" s="13"/>
      <c r="Q25" s="10"/>
      <c r="R25" s="10"/>
      <c r="S25" s="10"/>
      <c r="T25" s="13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</row>
    <row r="26" spans="1:57" x14ac:dyDescent="0.25">
      <c r="A26" s="9">
        <v>20</v>
      </c>
      <c r="B26" s="48" t="s">
        <v>93</v>
      </c>
      <c r="C26" s="49" t="s">
        <v>123</v>
      </c>
      <c r="D26" s="6" t="s">
        <v>69</v>
      </c>
      <c r="E26" s="50" t="s">
        <v>72</v>
      </c>
      <c r="F26" s="51" t="s">
        <v>87</v>
      </c>
      <c r="G26" s="9"/>
      <c r="H26" s="9">
        <v>4193</v>
      </c>
      <c r="I26" s="9">
        <v>9953391</v>
      </c>
      <c r="J26" s="9">
        <v>22</v>
      </c>
      <c r="K26" s="9" t="s">
        <v>89</v>
      </c>
      <c r="L26" s="9" t="s">
        <v>76</v>
      </c>
      <c r="M26" s="53" t="s">
        <v>121</v>
      </c>
      <c r="N26" s="51" t="s">
        <v>124</v>
      </c>
      <c r="O26" s="70"/>
      <c r="P26" s="13"/>
      <c r="Q26" s="10"/>
      <c r="R26" s="10"/>
      <c r="S26" s="10"/>
      <c r="T26" s="13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</row>
    <row r="27" spans="1:57" x14ac:dyDescent="0.25">
      <c r="A27" s="9">
        <v>21</v>
      </c>
      <c r="B27" s="48" t="s">
        <v>93</v>
      </c>
      <c r="C27" s="49" t="s">
        <v>125</v>
      </c>
      <c r="D27" s="6" t="s">
        <v>69</v>
      </c>
      <c r="E27" s="50" t="s">
        <v>72</v>
      </c>
      <c r="F27" s="51" t="s">
        <v>87</v>
      </c>
      <c r="G27" s="9"/>
      <c r="H27" s="9">
        <v>4193</v>
      </c>
      <c r="I27" s="9">
        <v>9953391</v>
      </c>
      <c r="J27" s="9">
        <v>335</v>
      </c>
      <c r="K27" s="9" t="s">
        <v>89</v>
      </c>
      <c r="L27" s="9" t="s">
        <v>76</v>
      </c>
      <c r="M27" s="53" t="s">
        <v>126</v>
      </c>
      <c r="N27" s="51" t="s">
        <v>127</v>
      </c>
      <c r="O27" s="70"/>
      <c r="P27" s="13"/>
      <c r="Q27" s="10"/>
      <c r="R27" s="10"/>
      <c r="S27" s="10"/>
      <c r="T27" s="13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</row>
    <row r="28" spans="1:57" x14ac:dyDescent="0.25">
      <c r="A28" s="9">
        <v>22</v>
      </c>
      <c r="B28" s="48" t="s">
        <v>93</v>
      </c>
      <c r="C28" s="49" t="s">
        <v>128</v>
      </c>
      <c r="D28" s="6" t="s">
        <v>69</v>
      </c>
      <c r="E28" s="50" t="s">
        <v>72</v>
      </c>
      <c r="F28" s="51" t="s">
        <v>87</v>
      </c>
      <c r="G28" s="9"/>
      <c r="H28" s="9">
        <v>4193</v>
      </c>
      <c r="I28" s="9">
        <v>9953391</v>
      </c>
      <c r="J28" s="9">
        <v>19</v>
      </c>
      <c r="K28" s="9" t="s">
        <v>89</v>
      </c>
      <c r="L28" s="9" t="s">
        <v>76</v>
      </c>
      <c r="M28" s="53" t="s">
        <v>129</v>
      </c>
      <c r="N28" s="3" t="s">
        <v>130</v>
      </c>
      <c r="O28" s="70"/>
      <c r="P28" s="13"/>
      <c r="Q28" s="10"/>
      <c r="R28" s="10"/>
      <c r="S28" s="10"/>
      <c r="T28" s="13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</row>
    <row r="29" spans="1:57" x14ac:dyDescent="0.25">
      <c r="A29" s="9">
        <v>23</v>
      </c>
      <c r="B29" s="48" t="s">
        <v>93</v>
      </c>
      <c r="C29" s="49" t="s">
        <v>131</v>
      </c>
      <c r="D29" s="6" t="s">
        <v>69</v>
      </c>
      <c r="E29" s="50" t="s">
        <v>72</v>
      </c>
      <c r="F29" s="51" t="s">
        <v>87</v>
      </c>
      <c r="G29" s="9"/>
      <c r="H29" s="9">
        <v>4193</v>
      </c>
      <c r="I29" s="9">
        <v>9953391</v>
      </c>
      <c r="J29" s="9">
        <v>1</v>
      </c>
      <c r="K29" s="9" t="s">
        <v>89</v>
      </c>
      <c r="L29" s="9" t="s">
        <v>76</v>
      </c>
      <c r="M29" s="53" t="s">
        <v>129</v>
      </c>
      <c r="N29" s="51" t="s">
        <v>132</v>
      </c>
      <c r="O29" s="70"/>
      <c r="P29" s="13"/>
      <c r="Q29" s="10"/>
      <c r="R29" s="10"/>
      <c r="S29" s="10"/>
      <c r="T29" s="13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</row>
    <row r="30" spans="1:57" x14ac:dyDescent="0.25">
      <c r="A30" s="9">
        <v>24</v>
      </c>
      <c r="B30" s="48" t="s">
        <v>93</v>
      </c>
      <c r="C30" s="49" t="s">
        <v>133</v>
      </c>
      <c r="D30" s="6" t="s">
        <v>69</v>
      </c>
      <c r="E30" s="50" t="s">
        <v>72</v>
      </c>
      <c r="F30" s="51" t="s">
        <v>87</v>
      </c>
      <c r="G30" s="9"/>
      <c r="H30" s="9">
        <v>4193</v>
      </c>
      <c r="I30" s="9">
        <v>9953391</v>
      </c>
      <c r="J30" s="9">
        <v>212</v>
      </c>
      <c r="K30" s="9" t="s">
        <v>89</v>
      </c>
      <c r="L30" s="9" t="s">
        <v>76</v>
      </c>
      <c r="M30" s="53" t="s">
        <v>134</v>
      </c>
      <c r="N30" s="51" t="s">
        <v>135</v>
      </c>
      <c r="O30" s="70"/>
      <c r="P30" s="13"/>
      <c r="Q30" s="10"/>
      <c r="R30" s="10"/>
      <c r="S30" s="10"/>
      <c r="T30" s="13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</row>
    <row r="31" spans="1:57" x14ac:dyDescent="0.25">
      <c r="A31" s="9">
        <v>25</v>
      </c>
      <c r="B31" s="48" t="s">
        <v>93</v>
      </c>
      <c r="C31" s="49" t="s">
        <v>136</v>
      </c>
      <c r="D31" s="6" t="s">
        <v>69</v>
      </c>
      <c r="E31" s="50" t="s">
        <v>72</v>
      </c>
      <c r="F31" s="51" t="s">
        <v>87</v>
      </c>
      <c r="G31" s="9"/>
      <c r="H31" s="9" t="s">
        <v>116</v>
      </c>
      <c r="I31" s="9">
        <v>9953391</v>
      </c>
      <c r="J31" s="9">
        <v>376</v>
      </c>
      <c r="K31" s="9" t="s">
        <v>89</v>
      </c>
      <c r="L31" s="9" t="s">
        <v>76</v>
      </c>
      <c r="M31" s="53" t="s">
        <v>134</v>
      </c>
      <c r="N31" s="51" t="s">
        <v>137</v>
      </c>
      <c r="O31" s="70"/>
      <c r="P31" s="13"/>
      <c r="Q31" s="10"/>
      <c r="R31" s="10"/>
      <c r="S31" s="10"/>
      <c r="T31" s="13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</row>
    <row r="32" spans="1:57" x14ac:dyDescent="0.25">
      <c r="A32" s="9">
        <v>26</v>
      </c>
      <c r="B32" s="48" t="s">
        <v>93</v>
      </c>
      <c r="C32" s="49" t="s">
        <v>138</v>
      </c>
      <c r="D32" s="6" t="s">
        <v>69</v>
      </c>
      <c r="E32" s="50" t="s">
        <v>72</v>
      </c>
      <c r="F32" s="51" t="s">
        <v>87</v>
      </c>
      <c r="G32" s="9"/>
      <c r="H32" s="9">
        <v>4193</v>
      </c>
      <c r="I32" s="9">
        <v>9953391</v>
      </c>
      <c r="J32" s="9">
        <v>111</v>
      </c>
      <c r="K32" s="9" t="s">
        <v>89</v>
      </c>
      <c r="L32" s="9" t="s">
        <v>76</v>
      </c>
      <c r="M32" s="53" t="s">
        <v>139</v>
      </c>
      <c r="N32" s="51" t="s">
        <v>140</v>
      </c>
      <c r="O32" s="70"/>
      <c r="P32" s="13"/>
      <c r="Q32" s="10"/>
      <c r="R32" s="10"/>
      <c r="S32" s="10"/>
      <c r="T32" s="13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</row>
    <row r="33" spans="1:57" x14ac:dyDescent="0.25">
      <c r="A33" s="9">
        <v>27</v>
      </c>
      <c r="B33" s="48" t="s">
        <v>93</v>
      </c>
      <c r="C33" s="49" t="s">
        <v>141</v>
      </c>
      <c r="D33" s="6" t="s">
        <v>69</v>
      </c>
      <c r="E33" s="50" t="s">
        <v>72</v>
      </c>
      <c r="F33" s="51" t="s">
        <v>87</v>
      </c>
      <c r="G33" s="9"/>
      <c r="H33" s="9" t="s">
        <v>88</v>
      </c>
      <c r="I33" s="9">
        <v>9953391</v>
      </c>
      <c r="J33" s="9">
        <v>57</v>
      </c>
      <c r="K33" s="9" t="s">
        <v>89</v>
      </c>
      <c r="L33" s="9" t="s">
        <v>76</v>
      </c>
      <c r="M33" s="53" t="s">
        <v>142</v>
      </c>
      <c r="N33" s="51" t="s">
        <v>143</v>
      </c>
      <c r="O33" s="70"/>
      <c r="P33" s="13"/>
      <c r="Q33" s="10"/>
      <c r="R33" s="10"/>
      <c r="S33" s="10"/>
      <c r="T33" s="13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</row>
    <row r="34" spans="1:57" x14ac:dyDescent="0.25">
      <c r="A34" s="9">
        <v>28</v>
      </c>
      <c r="B34" s="48" t="s">
        <v>93</v>
      </c>
      <c r="C34" s="49" t="s">
        <v>144</v>
      </c>
      <c r="D34" s="6" t="s">
        <v>69</v>
      </c>
      <c r="E34" s="50" t="s">
        <v>72</v>
      </c>
      <c r="F34" s="51" t="s">
        <v>87</v>
      </c>
      <c r="G34" s="9"/>
      <c r="H34" s="9">
        <v>4193</v>
      </c>
      <c r="I34" s="9">
        <v>9953391</v>
      </c>
      <c r="J34" s="9">
        <v>1</v>
      </c>
      <c r="K34" s="9" t="s">
        <v>89</v>
      </c>
      <c r="L34" s="9" t="s">
        <v>76</v>
      </c>
      <c r="M34" s="53" t="s">
        <v>129</v>
      </c>
      <c r="N34" s="51" t="s">
        <v>145</v>
      </c>
      <c r="O34" s="70"/>
      <c r="P34" s="13"/>
      <c r="Q34" s="10"/>
      <c r="R34" s="10"/>
      <c r="S34" s="10"/>
      <c r="T34" s="13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</row>
    <row r="35" spans="1:57" x14ac:dyDescent="0.25">
      <c r="A35" s="9">
        <v>29</v>
      </c>
      <c r="B35" s="48" t="s">
        <v>93</v>
      </c>
      <c r="C35" s="49" t="s">
        <v>146</v>
      </c>
      <c r="D35" s="6" t="s">
        <v>69</v>
      </c>
      <c r="E35" s="50" t="s">
        <v>72</v>
      </c>
      <c r="F35" s="51" t="s">
        <v>87</v>
      </c>
      <c r="G35" s="9"/>
      <c r="H35" s="9">
        <v>4193</v>
      </c>
      <c r="I35" s="9">
        <v>9953391</v>
      </c>
      <c r="J35" s="9">
        <v>1</v>
      </c>
      <c r="K35" s="9" t="s">
        <v>89</v>
      </c>
      <c r="L35" s="9" t="s">
        <v>76</v>
      </c>
      <c r="M35" s="53" t="s">
        <v>129</v>
      </c>
      <c r="N35" s="51" t="s">
        <v>147</v>
      </c>
      <c r="O35" s="70"/>
      <c r="P35" s="13"/>
      <c r="Q35" s="10"/>
      <c r="R35" s="10"/>
      <c r="S35" s="10"/>
      <c r="T35" s="13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</row>
    <row r="36" spans="1:57" x14ac:dyDescent="0.25">
      <c r="A36" s="9">
        <v>30</v>
      </c>
      <c r="B36" s="48" t="s">
        <v>93</v>
      </c>
      <c r="C36" s="49" t="s">
        <v>148</v>
      </c>
      <c r="D36" s="6" t="s">
        <v>69</v>
      </c>
      <c r="E36" s="50" t="s">
        <v>72</v>
      </c>
      <c r="F36" s="51" t="s">
        <v>87</v>
      </c>
      <c r="G36" s="9"/>
      <c r="H36" s="9">
        <v>4193</v>
      </c>
      <c r="I36" s="9">
        <v>9953391</v>
      </c>
      <c r="J36" s="9">
        <v>1</v>
      </c>
      <c r="K36" s="9" t="s">
        <v>89</v>
      </c>
      <c r="L36" s="9" t="s">
        <v>76</v>
      </c>
      <c r="M36" s="53" t="s">
        <v>129</v>
      </c>
      <c r="N36" s="51" t="s">
        <v>149</v>
      </c>
      <c r="O36" s="70"/>
      <c r="P36" s="13"/>
      <c r="Q36" s="10"/>
      <c r="R36" s="10"/>
      <c r="S36" s="10"/>
      <c r="T36" s="13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</row>
    <row r="37" spans="1:57" x14ac:dyDescent="0.25">
      <c r="A37" s="9">
        <v>31</v>
      </c>
      <c r="B37" s="48" t="s">
        <v>93</v>
      </c>
      <c r="C37" s="49" t="s">
        <v>150</v>
      </c>
      <c r="D37" s="6" t="s">
        <v>69</v>
      </c>
      <c r="E37" s="50" t="s">
        <v>72</v>
      </c>
      <c r="F37" s="51" t="s">
        <v>87</v>
      </c>
      <c r="G37" s="9"/>
      <c r="H37" s="9" t="s">
        <v>88</v>
      </c>
      <c r="I37" s="9" t="s">
        <v>151</v>
      </c>
      <c r="J37" s="9">
        <v>1</v>
      </c>
      <c r="K37" s="9" t="s">
        <v>89</v>
      </c>
      <c r="L37" s="9" t="s">
        <v>76</v>
      </c>
      <c r="M37" s="53" t="s">
        <v>129</v>
      </c>
      <c r="N37" s="51" t="s">
        <v>152</v>
      </c>
      <c r="O37" s="70"/>
      <c r="P37" s="13"/>
      <c r="Q37" s="10"/>
      <c r="R37" s="10"/>
      <c r="S37" s="10"/>
      <c r="T37" s="13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</row>
    <row r="38" spans="1:57" x14ac:dyDescent="0.25">
      <c r="A38" s="9">
        <v>32</v>
      </c>
      <c r="B38" s="48" t="s">
        <v>93</v>
      </c>
      <c r="C38" s="49" t="s">
        <v>153</v>
      </c>
      <c r="D38" s="6" t="s">
        <v>69</v>
      </c>
      <c r="E38" s="50" t="s">
        <v>72</v>
      </c>
      <c r="F38" s="51" t="s">
        <v>87</v>
      </c>
      <c r="G38" s="9"/>
      <c r="H38" s="9">
        <v>4193</v>
      </c>
      <c r="I38" s="9">
        <v>9953391</v>
      </c>
      <c r="J38" s="9">
        <v>11</v>
      </c>
      <c r="K38" s="9" t="s">
        <v>89</v>
      </c>
      <c r="L38" s="9" t="s">
        <v>76</v>
      </c>
      <c r="M38" s="53" t="s">
        <v>129</v>
      </c>
      <c r="N38" s="51" t="s">
        <v>154</v>
      </c>
      <c r="O38" s="70"/>
      <c r="P38" s="13"/>
      <c r="Q38" s="10"/>
      <c r="R38" s="10"/>
      <c r="S38" s="10"/>
      <c r="T38" s="13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</row>
    <row r="39" spans="1:57" x14ac:dyDescent="0.25">
      <c r="A39" s="9">
        <v>33</v>
      </c>
      <c r="B39" s="48" t="s">
        <v>93</v>
      </c>
      <c r="C39" s="49" t="s">
        <v>155</v>
      </c>
      <c r="D39" s="6" t="s">
        <v>69</v>
      </c>
      <c r="E39" s="50" t="s">
        <v>72</v>
      </c>
      <c r="F39" s="51" t="s">
        <v>87</v>
      </c>
      <c r="G39" s="9"/>
      <c r="H39" s="9">
        <v>4193</v>
      </c>
      <c r="I39" s="9">
        <v>9953391</v>
      </c>
      <c r="J39" s="9">
        <v>2</v>
      </c>
      <c r="K39" s="9" t="s">
        <v>89</v>
      </c>
      <c r="L39" s="9" t="s">
        <v>76</v>
      </c>
      <c r="M39" s="53" t="s">
        <v>129</v>
      </c>
      <c r="N39" s="51" t="s">
        <v>156</v>
      </c>
      <c r="O39" s="70"/>
      <c r="P39" s="13"/>
      <c r="Q39" s="10"/>
      <c r="R39" s="10"/>
      <c r="S39" s="10"/>
      <c r="T39" s="13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 spans="1:57" x14ac:dyDescent="0.25">
      <c r="A40" s="9">
        <v>34</v>
      </c>
      <c r="B40" s="48" t="s">
        <v>93</v>
      </c>
      <c r="C40" s="49" t="s">
        <v>157</v>
      </c>
      <c r="D40" s="6" t="s">
        <v>69</v>
      </c>
      <c r="E40" s="50" t="s">
        <v>72</v>
      </c>
      <c r="F40" s="51" t="s">
        <v>87</v>
      </c>
      <c r="G40" s="9"/>
      <c r="H40" s="9" t="s">
        <v>88</v>
      </c>
      <c r="I40" s="9" t="s">
        <v>151</v>
      </c>
      <c r="J40" s="9">
        <v>10</v>
      </c>
      <c r="K40" s="9" t="s">
        <v>89</v>
      </c>
      <c r="L40" s="9" t="s">
        <v>76</v>
      </c>
      <c r="M40" s="53" t="s">
        <v>129</v>
      </c>
      <c r="N40" s="9" t="s">
        <v>158</v>
      </c>
      <c r="O40" s="70"/>
      <c r="P40" s="13"/>
      <c r="Q40" s="10"/>
      <c r="R40" s="10"/>
      <c r="S40" s="10"/>
      <c r="T40" s="13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 spans="1:57" x14ac:dyDescent="0.25">
      <c r="A41" s="9">
        <v>35</v>
      </c>
      <c r="B41" s="48" t="s">
        <v>159</v>
      </c>
      <c r="C41" s="49" t="s">
        <v>160</v>
      </c>
      <c r="D41" s="6" t="s">
        <v>69</v>
      </c>
      <c r="E41" s="50" t="s">
        <v>72</v>
      </c>
      <c r="F41" s="51" t="s">
        <v>87</v>
      </c>
      <c r="G41" s="9"/>
      <c r="H41" s="9" t="s">
        <v>88</v>
      </c>
      <c r="I41" s="9" t="s">
        <v>151</v>
      </c>
      <c r="J41" s="9">
        <v>1</v>
      </c>
      <c r="K41" s="9" t="s">
        <v>89</v>
      </c>
      <c r="L41" s="9" t="s">
        <v>76</v>
      </c>
      <c r="M41" s="53" t="s">
        <v>139</v>
      </c>
      <c r="N41" s="9" t="s">
        <v>161</v>
      </c>
      <c r="O41" s="70"/>
      <c r="P41" s="13"/>
      <c r="Q41" s="10"/>
      <c r="R41" s="10"/>
      <c r="S41" s="10"/>
      <c r="T41" s="13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</row>
    <row r="42" spans="1:57" x14ac:dyDescent="0.25">
      <c r="A42" s="9">
        <v>36</v>
      </c>
      <c r="B42" s="48" t="s">
        <v>159</v>
      </c>
      <c r="C42" s="49" t="s">
        <v>162</v>
      </c>
      <c r="D42" s="6" t="s">
        <v>69</v>
      </c>
      <c r="E42" s="50" t="s">
        <v>72</v>
      </c>
      <c r="F42" s="51" t="s">
        <v>87</v>
      </c>
      <c r="G42" s="9"/>
      <c r="H42" s="9" t="s">
        <v>88</v>
      </c>
      <c r="I42" s="9" t="s">
        <v>151</v>
      </c>
      <c r="J42" s="9">
        <v>10</v>
      </c>
      <c r="K42" s="9" t="s">
        <v>96</v>
      </c>
      <c r="L42" s="9" t="s">
        <v>97</v>
      </c>
      <c r="M42" s="53" t="s">
        <v>163</v>
      </c>
      <c r="N42" s="9" t="s">
        <v>164</v>
      </c>
      <c r="O42" s="70"/>
      <c r="P42" s="13"/>
      <c r="Q42" s="10"/>
      <c r="R42" s="10"/>
      <c r="S42" s="10"/>
      <c r="T42" s="13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 t="s">
        <v>100</v>
      </c>
      <c r="AL42" s="10"/>
      <c r="AM42" s="9">
        <v>3</v>
      </c>
      <c r="AN42" s="10" t="s">
        <v>165</v>
      </c>
      <c r="AO42" s="72"/>
      <c r="AP42" s="72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 spans="1:57" x14ac:dyDescent="0.25">
      <c r="A43" s="9">
        <v>37</v>
      </c>
      <c r="B43" s="48" t="s">
        <v>159</v>
      </c>
      <c r="C43" s="49" t="s">
        <v>166</v>
      </c>
      <c r="D43" s="6" t="s">
        <v>69</v>
      </c>
      <c r="E43" s="50" t="s">
        <v>72</v>
      </c>
      <c r="F43" s="51" t="s">
        <v>87</v>
      </c>
      <c r="G43" s="9"/>
      <c r="H43" s="9" t="s">
        <v>88</v>
      </c>
      <c r="I43" s="9" t="s">
        <v>151</v>
      </c>
      <c r="J43" s="9">
        <v>5</v>
      </c>
      <c r="K43" s="9" t="s">
        <v>89</v>
      </c>
      <c r="L43" s="9" t="s">
        <v>76</v>
      </c>
      <c r="M43" s="53" t="s">
        <v>167</v>
      </c>
      <c r="N43" s="9" t="s">
        <v>168</v>
      </c>
      <c r="O43" s="70"/>
      <c r="P43" s="13"/>
      <c r="Q43" s="10"/>
      <c r="R43" s="10"/>
      <c r="S43" s="10"/>
      <c r="T43" s="13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 spans="1:57" x14ac:dyDescent="0.25">
      <c r="A44" s="9">
        <v>38</v>
      </c>
      <c r="B44" s="48" t="s">
        <v>159</v>
      </c>
      <c r="C44" s="49" t="s">
        <v>169</v>
      </c>
      <c r="D44" s="6" t="s">
        <v>69</v>
      </c>
      <c r="E44" s="50" t="s">
        <v>72</v>
      </c>
      <c r="F44" s="51" t="s">
        <v>87</v>
      </c>
      <c r="G44" s="9"/>
      <c r="H44" s="9" t="s">
        <v>88</v>
      </c>
      <c r="I44" s="9" t="s">
        <v>151</v>
      </c>
      <c r="J44" s="9">
        <v>4</v>
      </c>
      <c r="K44" s="9" t="s">
        <v>89</v>
      </c>
      <c r="L44" s="9" t="s">
        <v>76</v>
      </c>
      <c r="M44" s="53" t="s">
        <v>167</v>
      </c>
      <c r="N44" s="9" t="s">
        <v>170</v>
      </c>
      <c r="O44" s="70"/>
      <c r="P44" s="13"/>
      <c r="Q44" s="10"/>
      <c r="R44" s="10"/>
      <c r="S44" s="10"/>
      <c r="T44" s="13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</row>
    <row r="45" spans="1:57" x14ac:dyDescent="0.25">
      <c r="A45" s="9">
        <v>39</v>
      </c>
      <c r="B45" s="48" t="s">
        <v>159</v>
      </c>
      <c r="C45" s="49" t="s">
        <v>171</v>
      </c>
      <c r="D45" s="6" t="s">
        <v>69</v>
      </c>
      <c r="E45" s="50" t="s">
        <v>72</v>
      </c>
      <c r="F45" s="51" t="s">
        <v>87</v>
      </c>
      <c r="G45" s="9"/>
      <c r="H45" s="9" t="s">
        <v>88</v>
      </c>
      <c r="I45" s="9" t="s">
        <v>151</v>
      </c>
      <c r="J45" s="9">
        <v>4</v>
      </c>
      <c r="K45" s="9" t="s">
        <v>89</v>
      </c>
      <c r="L45" s="9" t="s">
        <v>76</v>
      </c>
      <c r="M45" s="53" t="s">
        <v>167</v>
      </c>
      <c r="N45" s="9" t="s">
        <v>172</v>
      </c>
      <c r="O45" s="70"/>
      <c r="P45" s="13"/>
      <c r="Q45" s="10"/>
      <c r="R45" s="10"/>
      <c r="S45" s="10"/>
      <c r="T45" s="13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</row>
    <row r="46" spans="1:57" x14ac:dyDescent="0.25">
      <c r="A46" s="9">
        <v>40</v>
      </c>
      <c r="B46" s="48" t="s">
        <v>159</v>
      </c>
      <c r="C46" s="49" t="s">
        <v>173</v>
      </c>
      <c r="D46" s="6" t="s">
        <v>69</v>
      </c>
      <c r="E46" s="50" t="s">
        <v>72</v>
      </c>
      <c r="F46" s="51" t="s">
        <v>87</v>
      </c>
      <c r="G46" s="9"/>
      <c r="H46" s="9" t="s">
        <v>88</v>
      </c>
      <c r="I46" s="9" t="s">
        <v>151</v>
      </c>
      <c r="J46" s="9">
        <v>4</v>
      </c>
      <c r="K46" s="9" t="s">
        <v>96</v>
      </c>
      <c r="L46" s="9" t="s">
        <v>97</v>
      </c>
      <c r="M46" s="53" t="s">
        <v>167</v>
      </c>
      <c r="N46" s="3" t="s">
        <v>174</v>
      </c>
      <c r="O46" s="70"/>
      <c r="P46" s="13"/>
      <c r="Q46" s="10"/>
      <c r="R46" s="10"/>
      <c r="S46" s="10"/>
      <c r="T46" s="13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75" t="s">
        <v>100</v>
      </c>
      <c r="AL46" s="10"/>
      <c r="AM46" s="9">
        <v>3</v>
      </c>
      <c r="AN46" s="10" t="s">
        <v>175</v>
      </c>
      <c r="AO46" s="72">
        <v>46283</v>
      </c>
      <c r="AP46" s="72">
        <v>46283</v>
      </c>
      <c r="AQ46" s="10">
        <v>8</v>
      </c>
      <c r="AR46" s="10" t="s">
        <v>103</v>
      </c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</row>
    <row r="47" spans="1:57" x14ac:dyDescent="0.25">
      <c r="A47" s="9">
        <v>41</v>
      </c>
      <c r="B47" s="48" t="s">
        <v>159</v>
      </c>
      <c r="C47" s="49" t="s">
        <v>176</v>
      </c>
      <c r="D47" s="6" t="s">
        <v>69</v>
      </c>
      <c r="E47" s="50" t="s">
        <v>72</v>
      </c>
      <c r="F47" s="51" t="s">
        <v>87</v>
      </c>
      <c r="G47" s="9"/>
      <c r="H47" s="9" t="s">
        <v>88</v>
      </c>
      <c r="I47" s="9" t="s">
        <v>151</v>
      </c>
      <c r="J47" s="9">
        <v>6</v>
      </c>
      <c r="K47" s="9" t="s">
        <v>96</v>
      </c>
      <c r="L47" s="9" t="s">
        <v>97</v>
      </c>
      <c r="M47" s="53" t="s">
        <v>177</v>
      </c>
      <c r="N47" s="9" t="s">
        <v>178</v>
      </c>
      <c r="O47" s="70"/>
      <c r="P47" s="13"/>
      <c r="Q47" s="10"/>
      <c r="R47" s="10"/>
      <c r="S47" s="10"/>
      <c r="T47" s="13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9" t="s">
        <v>100</v>
      </c>
      <c r="AL47" s="10"/>
      <c r="AM47" s="9">
        <v>3</v>
      </c>
      <c r="AN47" s="10" t="s">
        <v>179</v>
      </c>
      <c r="AO47" s="72">
        <v>46282</v>
      </c>
      <c r="AP47" s="72">
        <v>46282</v>
      </c>
      <c r="AQ47" s="10">
        <v>5</v>
      </c>
      <c r="AR47" s="10" t="s">
        <v>103</v>
      </c>
      <c r="AS47" s="2" t="s">
        <v>180</v>
      </c>
      <c r="AT47" s="10"/>
      <c r="AU47" s="10"/>
      <c r="AV47" s="10"/>
      <c r="AW47" s="10"/>
      <c r="AX47" s="10"/>
      <c r="AY47" s="10" t="s">
        <v>181</v>
      </c>
      <c r="AZ47" s="10"/>
      <c r="BA47" s="10"/>
      <c r="BB47" s="10"/>
      <c r="BC47" s="10"/>
      <c r="BD47" s="10"/>
      <c r="BE47" s="10"/>
    </row>
    <row r="48" spans="1:57" x14ac:dyDescent="0.25">
      <c r="A48" s="9">
        <v>42</v>
      </c>
      <c r="B48" s="48" t="s">
        <v>159</v>
      </c>
      <c r="C48" s="49" t="s">
        <v>182</v>
      </c>
      <c r="D48" s="6" t="s">
        <v>69</v>
      </c>
      <c r="E48" s="50" t="s">
        <v>72</v>
      </c>
      <c r="F48" s="51" t="s">
        <v>87</v>
      </c>
      <c r="G48" s="9"/>
      <c r="H48" s="9" t="s">
        <v>88</v>
      </c>
      <c r="I48" s="9" t="s">
        <v>151</v>
      </c>
      <c r="J48" s="9">
        <v>6</v>
      </c>
      <c r="K48" s="9" t="s">
        <v>96</v>
      </c>
      <c r="L48" s="9" t="s">
        <v>97</v>
      </c>
      <c r="M48" s="53" t="s">
        <v>167</v>
      </c>
      <c r="N48" s="9" t="s">
        <v>183</v>
      </c>
      <c r="O48" s="70"/>
      <c r="P48" s="13"/>
      <c r="Q48" s="10"/>
      <c r="R48" s="10"/>
      <c r="S48" s="10"/>
      <c r="T48" s="13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9" t="s">
        <v>100</v>
      </c>
      <c r="AL48" s="10"/>
      <c r="AM48" s="9">
        <v>3</v>
      </c>
      <c r="AN48" s="10" t="s">
        <v>175</v>
      </c>
      <c r="AO48" s="72">
        <v>46283</v>
      </c>
      <c r="AP48" s="72">
        <v>46283</v>
      </c>
      <c r="AQ48" s="10">
        <v>5</v>
      </c>
      <c r="AR48" s="10" t="s">
        <v>103</v>
      </c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</row>
    <row r="49" spans="1:57" x14ac:dyDescent="0.25">
      <c r="A49" s="9">
        <v>43</v>
      </c>
      <c r="B49" s="48" t="s">
        <v>159</v>
      </c>
      <c r="C49" s="49" t="s">
        <v>184</v>
      </c>
      <c r="D49" s="6" t="s">
        <v>69</v>
      </c>
      <c r="E49" s="50" t="s">
        <v>72</v>
      </c>
      <c r="F49" s="51" t="s">
        <v>87</v>
      </c>
      <c r="G49" s="9"/>
      <c r="H49" s="9" t="s">
        <v>88</v>
      </c>
      <c r="I49" s="9" t="s">
        <v>151</v>
      </c>
      <c r="J49" s="9">
        <v>7</v>
      </c>
      <c r="K49" s="9" t="s">
        <v>89</v>
      </c>
      <c r="L49" s="9" t="s">
        <v>76</v>
      </c>
      <c r="M49" s="53" t="s">
        <v>167</v>
      </c>
      <c r="N49" s="9" t="s">
        <v>185</v>
      </c>
      <c r="O49" s="70"/>
      <c r="P49" s="13"/>
      <c r="Q49" s="10"/>
      <c r="R49" s="10"/>
      <c r="S49" s="10"/>
      <c r="T49" s="13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</row>
    <row r="50" spans="1:57" x14ac:dyDescent="0.25">
      <c r="A50" s="9">
        <v>44</v>
      </c>
      <c r="B50" s="48" t="s">
        <v>159</v>
      </c>
      <c r="C50" s="49" t="s">
        <v>186</v>
      </c>
      <c r="D50" s="6" t="s">
        <v>69</v>
      </c>
      <c r="E50" s="50" t="s">
        <v>72</v>
      </c>
      <c r="F50" s="51" t="s">
        <v>87</v>
      </c>
      <c r="G50" s="9"/>
      <c r="H50" s="9" t="s">
        <v>88</v>
      </c>
      <c r="I50" s="9" t="s">
        <v>151</v>
      </c>
      <c r="J50" s="9">
        <v>6</v>
      </c>
      <c r="K50" s="9" t="s">
        <v>89</v>
      </c>
      <c r="L50" s="9" t="s">
        <v>76</v>
      </c>
      <c r="M50" s="53" t="s">
        <v>167</v>
      </c>
      <c r="N50" s="9" t="s">
        <v>187</v>
      </c>
      <c r="O50" s="70"/>
      <c r="P50" s="13"/>
      <c r="Q50" s="10"/>
      <c r="R50" s="10"/>
      <c r="S50" s="10"/>
      <c r="T50" s="13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</row>
    <row r="51" spans="1:57" x14ac:dyDescent="0.25">
      <c r="A51" s="9">
        <v>45</v>
      </c>
      <c r="B51" s="48" t="s">
        <v>159</v>
      </c>
      <c r="C51" s="49" t="s">
        <v>188</v>
      </c>
      <c r="D51" s="6" t="s">
        <v>69</v>
      </c>
      <c r="E51" s="50" t="s">
        <v>72</v>
      </c>
      <c r="F51" s="51" t="s">
        <v>87</v>
      </c>
      <c r="G51" s="9"/>
      <c r="H51" s="9" t="s">
        <v>88</v>
      </c>
      <c r="I51" s="9" t="s">
        <v>151</v>
      </c>
      <c r="J51" s="9">
        <v>4</v>
      </c>
      <c r="K51" s="9" t="s">
        <v>89</v>
      </c>
      <c r="L51" s="9" t="s">
        <v>76</v>
      </c>
      <c r="M51" s="53" t="s">
        <v>167</v>
      </c>
      <c r="N51" s="9" t="s">
        <v>189</v>
      </c>
      <c r="O51" s="70"/>
      <c r="P51" s="13"/>
      <c r="Q51" s="10"/>
      <c r="R51" s="10"/>
      <c r="S51" s="10"/>
      <c r="T51" s="13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</row>
    <row r="52" spans="1:57" x14ac:dyDescent="0.25">
      <c r="A52" s="9">
        <v>46</v>
      </c>
      <c r="B52" s="48" t="s">
        <v>159</v>
      </c>
      <c r="C52" s="49" t="s">
        <v>190</v>
      </c>
      <c r="D52" s="6" t="s">
        <v>69</v>
      </c>
      <c r="E52" s="50" t="s">
        <v>72</v>
      </c>
      <c r="F52" s="51" t="s">
        <v>87</v>
      </c>
      <c r="G52" s="9"/>
      <c r="H52" s="9" t="s">
        <v>88</v>
      </c>
      <c r="I52" s="9" t="s">
        <v>151</v>
      </c>
      <c r="J52" s="9">
        <v>4</v>
      </c>
      <c r="K52" s="9" t="s">
        <v>89</v>
      </c>
      <c r="L52" s="9" t="s">
        <v>76</v>
      </c>
      <c r="M52" s="53" t="s">
        <v>167</v>
      </c>
      <c r="N52" s="9" t="s">
        <v>191</v>
      </c>
      <c r="O52" s="70"/>
      <c r="P52" s="13"/>
      <c r="Q52" s="10"/>
      <c r="R52" s="10"/>
      <c r="S52" s="10"/>
      <c r="T52" s="13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</row>
    <row r="53" spans="1:57" x14ac:dyDescent="0.25">
      <c r="A53" s="9">
        <v>47</v>
      </c>
      <c r="B53" s="48" t="s">
        <v>159</v>
      </c>
      <c r="C53" s="49" t="s">
        <v>192</v>
      </c>
      <c r="D53" s="6" t="s">
        <v>69</v>
      </c>
      <c r="E53" s="50" t="s">
        <v>72</v>
      </c>
      <c r="F53" s="51" t="s">
        <v>87</v>
      </c>
      <c r="G53" s="9"/>
      <c r="H53" s="9" t="s">
        <v>88</v>
      </c>
      <c r="I53" s="9" t="s">
        <v>151</v>
      </c>
      <c r="J53" s="9">
        <v>3</v>
      </c>
      <c r="K53" s="9" t="s">
        <v>89</v>
      </c>
      <c r="L53" s="9" t="s">
        <v>76</v>
      </c>
      <c r="M53" s="53" t="s">
        <v>193</v>
      </c>
      <c r="N53" s="3" t="s">
        <v>194</v>
      </c>
      <c r="O53" s="70"/>
      <c r="P53" s="13"/>
      <c r="Q53" s="10"/>
      <c r="R53" s="10"/>
      <c r="S53" s="10"/>
      <c r="T53" s="13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</row>
    <row r="54" spans="1:57" x14ac:dyDescent="0.25">
      <c r="A54" s="9">
        <v>48</v>
      </c>
      <c r="B54" s="48" t="s">
        <v>159</v>
      </c>
      <c r="C54" s="49" t="s">
        <v>195</v>
      </c>
      <c r="D54" s="6" t="s">
        <v>69</v>
      </c>
      <c r="E54" s="50" t="s">
        <v>72</v>
      </c>
      <c r="F54" s="51" t="s">
        <v>87</v>
      </c>
      <c r="G54" s="9"/>
      <c r="H54" s="9" t="s">
        <v>88</v>
      </c>
      <c r="I54" s="9" t="s">
        <v>151</v>
      </c>
      <c r="J54" s="9">
        <v>2</v>
      </c>
      <c r="K54" s="9" t="s">
        <v>89</v>
      </c>
      <c r="L54" s="9" t="s">
        <v>76</v>
      </c>
      <c r="M54" s="53" t="s">
        <v>196</v>
      </c>
      <c r="N54" s="9" t="s">
        <v>197</v>
      </c>
      <c r="O54" s="70"/>
      <c r="P54" s="13"/>
      <c r="Q54" s="10"/>
      <c r="R54" s="10"/>
      <c r="S54" s="10"/>
      <c r="T54" s="13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</row>
    <row r="55" spans="1:57" x14ac:dyDescent="0.25">
      <c r="A55" s="9">
        <v>49</v>
      </c>
      <c r="B55" s="48" t="s">
        <v>159</v>
      </c>
      <c r="C55" s="49" t="s">
        <v>198</v>
      </c>
      <c r="D55" s="6" t="s">
        <v>69</v>
      </c>
      <c r="E55" s="50" t="s">
        <v>72</v>
      </c>
      <c r="F55" s="51" t="s">
        <v>87</v>
      </c>
      <c r="G55" s="9"/>
      <c r="H55" s="9" t="s">
        <v>88</v>
      </c>
      <c r="I55" s="9" t="s">
        <v>151</v>
      </c>
      <c r="J55" s="9">
        <v>5</v>
      </c>
      <c r="K55" s="9" t="s">
        <v>89</v>
      </c>
      <c r="L55" s="9" t="s">
        <v>76</v>
      </c>
      <c r="M55" s="53" t="s">
        <v>167</v>
      </c>
      <c r="N55" s="3" t="s">
        <v>199</v>
      </c>
      <c r="O55" s="70"/>
      <c r="P55" s="13"/>
      <c r="Q55" s="10"/>
      <c r="R55" s="10"/>
      <c r="S55" s="10"/>
      <c r="T55" s="13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</row>
    <row r="56" spans="1:57" x14ac:dyDescent="0.25">
      <c r="A56" s="9">
        <v>50</v>
      </c>
      <c r="B56" s="48" t="s">
        <v>159</v>
      </c>
      <c r="C56" s="49" t="s">
        <v>200</v>
      </c>
      <c r="D56" s="6" t="s">
        <v>69</v>
      </c>
      <c r="E56" s="50" t="s">
        <v>72</v>
      </c>
      <c r="F56" s="51" t="s">
        <v>87</v>
      </c>
      <c r="G56" s="9"/>
      <c r="H56" s="9" t="s">
        <v>88</v>
      </c>
      <c r="I56" s="9" t="s">
        <v>151</v>
      </c>
      <c r="J56" s="9">
        <v>12</v>
      </c>
      <c r="K56" s="9" t="s">
        <v>89</v>
      </c>
      <c r="L56" s="9" t="s">
        <v>76</v>
      </c>
      <c r="M56" s="53" t="s">
        <v>201</v>
      </c>
      <c r="N56" s="3" t="s">
        <v>202</v>
      </c>
      <c r="O56" s="70"/>
      <c r="P56" s="13"/>
      <c r="Q56" s="10"/>
      <c r="R56" s="10"/>
      <c r="S56" s="10"/>
      <c r="T56" s="13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</row>
    <row r="57" spans="1:57" x14ac:dyDescent="0.25">
      <c r="A57" s="9">
        <v>51</v>
      </c>
      <c r="B57" s="48" t="s">
        <v>159</v>
      </c>
      <c r="C57" s="49" t="s">
        <v>203</v>
      </c>
      <c r="D57" s="6" t="s">
        <v>69</v>
      </c>
      <c r="E57" s="50" t="s">
        <v>72</v>
      </c>
      <c r="F57" s="51" t="s">
        <v>87</v>
      </c>
      <c r="G57" s="9"/>
      <c r="H57" s="9" t="s">
        <v>88</v>
      </c>
      <c r="I57" s="9" t="s">
        <v>151</v>
      </c>
      <c r="J57" s="9">
        <v>107</v>
      </c>
      <c r="K57" s="9" t="s">
        <v>96</v>
      </c>
      <c r="L57" s="9" t="s">
        <v>97</v>
      </c>
      <c r="M57" s="53" t="s">
        <v>167</v>
      </c>
      <c r="N57" s="9" t="s">
        <v>204</v>
      </c>
      <c r="O57" s="70"/>
      <c r="P57" s="13"/>
      <c r="Q57" s="10"/>
      <c r="R57" s="10"/>
      <c r="S57" s="10"/>
      <c r="T57" s="13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 t="s">
        <v>100</v>
      </c>
      <c r="AL57" s="10"/>
      <c r="AM57" s="9" t="s">
        <v>205</v>
      </c>
      <c r="AN57" s="10" t="s">
        <v>206</v>
      </c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</row>
    <row r="58" spans="1:57" x14ac:dyDescent="0.25">
      <c r="A58" s="9">
        <v>52</v>
      </c>
      <c r="B58" s="48" t="s">
        <v>159</v>
      </c>
      <c r="C58" s="49" t="s">
        <v>207</v>
      </c>
      <c r="D58" s="6" t="s">
        <v>69</v>
      </c>
      <c r="E58" s="50" t="s">
        <v>72</v>
      </c>
      <c r="F58" s="51" t="s">
        <v>87</v>
      </c>
      <c r="G58" s="9"/>
      <c r="H58" s="9" t="s">
        <v>88</v>
      </c>
      <c r="I58" s="9">
        <v>9953391</v>
      </c>
      <c r="J58" s="9">
        <v>58</v>
      </c>
      <c r="K58" s="9" t="s">
        <v>96</v>
      </c>
      <c r="L58" s="9" t="s">
        <v>97</v>
      </c>
      <c r="M58" s="53" t="s">
        <v>208</v>
      </c>
      <c r="N58" s="9" t="s">
        <v>209</v>
      </c>
      <c r="O58" s="70"/>
      <c r="P58" s="13"/>
      <c r="Q58" s="10"/>
      <c r="R58" s="10"/>
      <c r="S58" s="10"/>
      <c r="T58" s="13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 t="s">
        <v>100</v>
      </c>
      <c r="AL58" s="10"/>
      <c r="AM58" s="9" t="s">
        <v>210</v>
      </c>
      <c r="AN58" s="10" t="s">
        <v>175</v>
      </c>
      <c r="AO58" s="72">
        <v>46282</v>
      </c>
      <c r="AP58" s="72">
        <v>46282</v>
      </c>
      <c r="AQ58" s="10">
        <v>83</v>
      </c>
      <c r="AR58" s="10" t="s">
        <v>103</v>
      </c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</row>
    <row r="59" spans="1:57" x14ac:dyDescent="0.25">
      <c r="A59" s="9">
        <v>53</v>
      </c>
      <c r="B59" s="48" t="s">
        <v>159</v>
      </c>
      <c r="C59" s="49" t="s">
        <v>211</v>
      </c>
      <c r="D59" s="6" t="s">
        <v>69</v>
      </c>
      <c r="E59" s="50" t="s">
        <v>72</v>
      </c>
      <c r="F59" s="51" t="s">
        <v>87</v>
      </c>
      <c r="G59" s="9"/>
      <c r="H59" s="9" t="s">
        <v>88</v>
      </c>
      <c r="I59" s="9" t="s">
        <v>151</v>
      </c>
      <c r="J59" s="9">
        <v>46</v>
      </c>
      <c r="K59" s="9" t="s">
        <v>89</v>
      </c>
      <c r="L59" s="9" t="s">
        <v>76</v>
      </c>
      <c r="M59" s="53" t="s">
        <v>167</v>
      </c>
      <c r="N59" s="9" t="s">
        <v>212</v>
      </c>
      <c r="O59" s="70"/>
      <c r="P59" s="13"/>
      <c r="Q59" s="10"/>
      <c r="R59" s="10"/>
      <c r="S59" s="10"/>
      <c r="T59" s="13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</row>
    <row r="60" spans="1:57" x14ac:dyDescent="0.25">
      <c r="A60" s="9">
        <v>54</v>
      </c>
      <c r="B60" s="48" t="s">
        <v>159</v>
      </c>
      <c r="C60" s="49" t="s">
        <v>213</v>
      </c>
      <c r="D60" s="6" t="s">
        <v>69</v>
      </c>
      <c r="E60" s="50" t="s">
        <v>72</v>
      </c>
      <c r="F60" s="51" t="s">
        <v>87</v>
      </c>
      <c r="G60" s="9"/>
      <c r="H60" s="9" t="s">
        <v>88</v>
      </c>
      <c r="I60" s="4">
        <v>9953391</v>
      </c>
      <c r="J60" s="9">
        <v>19</v>
      </c>
      <c r="K60" s="9" t="s">
        <v>89</v>
      </c>
      <c r="L60" s="9" t="s">
        <v>76</v>
      </c>
      <c r="M60" s="53" t="s">
        <v>214</v>
      </c>
      <c r="N60" s="9" t="s">
        <v>215</v>
      </c>
      <c r="O60" s="70"/>
      <c r="P60" s="13"/>
      <c r="Q60" s="10"/>
      <c r="R60" s="10"/>
      <c r="S60" s="10"/>
      <c r="T60" s="13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</row>
    <row r="61" spans="1:57" x14ac:dyDescent="0.25">
      <c r="A61" s="9">
        <v>55</v>
      </c>
      <c r="B61" s="48" t="s">
        <v>159</v>
      </c>
      <c r="C61" s="49" t="s">
        <v>216</v>
      </c>
      <c r="D61" s="6" t="s">
        <v>69</v>
      </c>
      <c r="E61" s="50" t="s">
        <v>72</v>
      </c>
      <c r="F61" s="51" t="s">
        <v>87</v>
      </c>
      <c r="G61" s="9"/>
      <c r="H61" s="9" t="s">
        <v>88</v>
      </c>
      <c r="I61" s="9" t="s">
        <v>151</v>
      </c>
      <c r="J61" s="9">
        <v>1</v>
      </c>
      <c r="K61" s="9" t="s">
        <v>89</v>
      </c>
      <c r="L61" s="9" t="s">
        <v>76</v>
      </c>
      <c r="M61" s="53" t="s">
        <v>167</v>
      </c>
      <c r="N61" s="9" t="s">
        <v>217</v>
      </c>
      <c r="O61" s="70"/>
      <c r="P61" s="13"/>
      <c r="Q61" s="10"/>
      <c r="R61" s="10"/>
      <c r="S61" s="10"/>
      <c r="T61" s="13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</row>
    <row r="62" spans="1:57" x14ac:dyDescent="0.25">
      <c r="A62" s="9">
        <v>56</v>
      </c>
      <c r="B62" s="48" t="s">
        <v>159</v>
      </c>
      <c r="C62" s="49" t="s">
        <v>218</v>
      </c>
      <c r="D62" s="6" t="s">
        <v>69</v>
      </c>
      <c r="E62" s="50" t="s">
        <v>72</v>
      </c>
      <c r="F62" s="51" t="s">
        <v>87</v>
      </c>
      <c r="G62" s="9"/>
      <c r="H62" s="9" t="s">
        <v>88</v>
      </c>
      <c r="I62" s="9" t="s">
        <v>151</v>
      </c>
      <c r="J62" s="9">
        <v>12</v>
      </c>
      <c r="K62" s="9" t="s">
        <v>89</v>
      </c>
      <c r="L62" s="9" t="s">
        <v>76</v>
      </c>
      <c r="M62" s="53" t="s">
        <v>129</v>
      </c>
      <c r="N62" s="9" t="s">
        <v>219</v>
      </c>
      <c r="O62" s="70"/>
      <c r="P62" s="13"/>
      <c r="Q62" s="10"/>
      <c r="R62" s="10"/>
      <c r="S62" s="10"/>
      <c r="T62" s="13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</row>
    <row r="63" spans="1:57" x14ac:dyDescent="0.25">
      <c r="A63" s="9">
        <v>57</v>
      </c>
      <c r="B63" s="48" t="s">
        <v>159</v>
      </c>
      <c r="C63" s="49" t="s">
        <v>220</v>
      </c>
      <c r="D63" s="6" t="s">
        <v>69</v>
      </c>
      <c r="E63" s="50" t="s">
        <v>72</v>
      </c>
      <c r="F63" s="51" t="s">
        <v>87</v>
      </c>
      <c r="G63" s="9"/>
      <c r="H63" s="9" t="s">
        <v>88</v>
      </c>
      <c r="I63" s="9" t="s">
        <v>151</v>
      </c>
      <c r="J63" s="9">
        <v>1</v>
      </c>
      <c r="K63" s="9" t="s">
        <v>89</v>
      </c>
      <c r="L63" s="9" t="s">
        <v>76</v>
      </c>
      <c r="M63" s="53" t="s">
        <v>167</v>
      </c>
      <c r="N63" s="9" t="s">
        <v>221</v>
      </c>
      <c r="O63" s="70"/>
      <c r="P63" s="13"/>
      <c r="Q63" s="10"/>
      <c r="R63" s="10"/>
      <c r="S63" s="10"/>
      <c r="T63" s="13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</row>
    <row r="64" spans="1:57" x14ac:dyDescent="0.25">
      <c r="A64" s="9">
        <v>58</v>
      </c>
      <c r="B64" s="48" t="s">
        <v>159</v>
      </c>
      <c r="C64" s="49" t="s">
        <v>222</v>
      </c>
      <c r="D64" s="6" t="s">
        <v>69</v>
      </c>
      <c r="E64" s="50" t="s">
        <v>72</v>
      </c>
      <c r="F64" s="51" t="s">
        <v>87</v>
      </c>
      <c r="G64" s="9"/>
      <c r="H64" s="9" t="s">
        <v>88</v>
      </c>
      <c r="I64" s="9" t="s">
        <v>151</v>
      </c>
      <c r="J64" s="9">
        <v>1</v>
      </c>
      <c r="K64" s="9" t="s">
        <v>89</v>
      </c>
      <c r="L64" s="9" t="s">
        <v>76</v>
      </c>
      <c r="M64" s="53" t="s">
        <v>167</v>
      </c>
      <c r="N64" s="9" t="s">
        <v>223</v>
      </c>
      <c r="O64" s="70"/>
      <c r="P64" s="13"/>
      <c r="Q64" s="10"/>
      <c r="R64" s="10"/>
      <c r="S64" s="10"/>
      <c r="T64" s="13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</row>
    <row r="65" spans="1:57" x14ac:dyDescent="0.25">
      <c r="A65" s="9">
        <v>59</v>
      </c>
      <c r="B65" s="48" t="s">
        <v>159</v>
      </c>
      <c r="C65" s="49" t="s">
        <v>224</v>
      </c>
      <c r="D65" s="6" t="s">
        <v>69</v>
      </c>
      <c r="E65" s="50" t="s">
        <v>72</v>
      </c>
      <c r="F65" s="51" t="s">
        <v>87</v>
      </c>
      <c r="G65" s="9"/>
      <c r="H65" s="9" t="s">
        <v>88</v>
      </c>
      <c r="I65" s="9" t="s">
        <v>225</v>
      </c>
      <c r="J65" s="9">
        <v>3</v>
      </c>
      <c r="K65" s="9" t="s">
        <v>89</v>
      </c>
      <c r="L65" s="9" t="s">
        <v>76</v>
      </c>
      <c r="M65" s="53" t="s">
        <v>167</v>
      </c>
      <c r="N65" s="9" t="s">
        <v>226</v>
      </c>
      <c r="O65" s="70"/>
      <c r="P65" s="13"/>
      <c r="Q65" s="10"/>
      <c r="R65" s="10"/>
      <c r="S65" s="10"/>
      <c r="T65" s="13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</row>
    <row r="66" spans="1:57" x14ac:dyDescent="0.25">
      <c r="A66" s="9">
        <v>60</v>
      </c>
      <c r="B66" s="48" t="s">
        <v>159</v>
      </c>
      <c r="C66" s="49" t="s">
        <v>227</v>
      </c>
      <c r="D66" s="6" t="s">
        <v>69</v>
      </c>
      <c r="E66" s="50" t="s">
        <v>72</v>
      </c>
      <c r="F66" s="51" t="s">
        <v>87</v>
      </c>
      <c r="G66" s="9"/>
      <c r="H66" s="9" t="s">
        <v>88</v>
      </c>
      <c r="I66" s="9" t="s">
        <v>151</v>
      </c>
      <c r="J66" s="9">
        <v>14</v>
      </c>
      <c r="K66" s="9" t="s">
        <v>96</v>
      </c>
      <c r="L66" s="9" t="s">
        <v>97</v>
      </c>
      <c r="M66" s="53" t="s">
        <v>163</v>
      </c>
      <c r="N66" s="9" t="s">
        <v>228</v>
      </c>
      <c r="O66" s="70"/>
      <c r="P66" s="13"/>
      <c r="Q66" s="10"/>
      <c r="R66" s="10"/>
      <c r="S66" s="10"/>
      <c r="T66" s="13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 t="s">
        <v>100</v>
      </c>
      <c r="AL66" s="10"/>
      <c r="AM66" s="9">
        <v>4</v>
      </c>
      <c r="AN66" s="10" t="s">
        <v>165</v>
      </c>
      <c r="AO66" s="72"/>
      <c r="AP66" s="72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</row>
    <row r="67" spans="1:57" x14ac:dyDescent="0.25">
      <c r="A67" s="9">
        <v>61</v>
      </c>
      <c r="B67" s="48" t="s">
        <v>159</v>
      </c>
      <c r="C67" s="49" t="s">
        <v>229</v>
      </c>
      <c r="D67" s="6" t="s">
        <v>69</v>
      </c>
      <c r="E67" s="50" t="s">
        <v>72</v>
      </c>
      <c r="F67" s="51" t="s">
        <v>87</v>
      </c>
      <c r="G67" s="9"/>
      <c r="H67" s="9" t="s">
        <v>88</v>
      </c>
      <c r="I67" s="9" t="s">
        <v>151</v>
      </c>
      <c r="J67" s="9">
        <v>19</v>
      </c>
      <c r="K67" s="9" t="s">
        <v>96</v>
      </c>
      <c r="L67" s="9" t="s">
        <v>97</v>
      </c>
      <c r="M67" s="53" t="s">
        <v>230</v>
      </c>
      <c r="N67" s="9" t="s">
        <v>231</v>
      </c>
      <c r="O67" s="70"/>
      <c r="P67" s="13"/>
      <c r="Q67" s="10"/>
      <c r="R67" s="10"/>
      <c r="S67" s="10"/>
      <c r="T67" s="13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 t="s">
        <v>100</v>
      </c>
      <c r="AL67" s="10"/>
      <c r="AM67" s="9" t="s">
        <v>232</v>
      </c>
      <c r="AN67" s="10" t="s">
        <v>165</v>
      </c>
      <c r="AO67" s="72"/>
      <c r="AP67" s="72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</row>
    <row r="68" spans="1:57" x14ac:dyDescent="0.25">
      <c r="A68" s="9">
        <v>62</v>
      </c>
      <c r="B68" s="48" t="s">
        <v>233</v>
      </c>
      <c r="C68" s="49" t="s">
        <v>234</v>
      </c>
      <c r="D68" s="6" t="s">
        <v>69</v>
      </c>
      <c r="E68" s="50" t="s">
        <v>72</v>
      </c>
      <c r="F68" s="51" t="s">
        <v>87</v>
      </c>
      <c r="G68" s="9"/>
      <c r="H68" s="9" t="s">
        <v>74</v>
      </c>
      <c r="I68" s="9" t="s">
        <v>74</v>
      </c>
      <c r="J68" s="9">
        <v>7</v>
      </c>
      <c r="K68" s="9" t="s">
        <v>89</v>
      </c>
      <c r="L68" s="9" t="s">
        <v>76</v>
      </c>
      <c r="M68" s="53" t="s">
        <v>129</v>
      </c>
      <c r="N68" s="9" t="s">
        <v>235</v>
      </c>
      <c r="O68" s="70"/>
      <c r="P68" s="13"/>
      <c r="Q68" s="10"/>
      <c r="R68" s="10"/>
      <c r="S68" s="10"/>
      <c r="T68" s="13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72"/>
      <c r="AP68" s="72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</row>
    <row r="69" spans="1:57" x14ac:dyDescent="0.25">
      <c r="A69" s="9">
        <v>63</v>
      </c>
      <c r="B69" s="48" t="s">
        <v>233</v>
      </c>
      <c r="C69" s="49" t="s">
        <v>236</v>
      </c>
      <c r="D69" s="6" t="s">
        <v>69</v>
      </c>
      <c r="E69" s="50" t="s">
        <v>72</v>
      </c>
      <c r="F69" s="51" t="s">
        <v>87</v>
      </c>
      <c r="G69" s="9"/>
      <c r="H69" s="9" t="s">
        <v>88</v>
      </c>
      <c r="I69" s="9" t="s">
        <v>151</v>
      </c>
      <c r="J69" s="10">
        <v>12</v>
      </c>
      <c r="K69" s="9" t="s">
        <v>89</v>
      </c>
      <c r="L69" s="9" t="s">
        <v>76</v>
      </c>
      <c r="M69" s="53" t="s">
        <v>167</v>
      </c>
      <c r="N69" s="9" t="s">
        <v>237</v>
      </c>
      <c r="O69" s="70"/>
      <c r="P69" s="13"/>
      <c r="Q69" s="10"/>
      <c r="R69" s="10"/>
      <c r="S69" s="10"/>
      <c r="T69" s="13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72"/>
      <c r="AP69" s="72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</row>
    <row r="70" spans="1:57" x14ac:dyDescent="0.25">
      <c r="A70" s="9">
        <v>64</v>
      </c>
      <c r="B70" s="48" t="s">
        <v>233</v>
      </c>
      <c r="C70" s="69" t="s">
        <v>238</v>
      </c>
      <c r="D70" s="6" t="s">
        <v>69</v>
      </c>
      <c r="E70" s="50" t="s">
        <v>72</v>
      </c>
      <c r="F70" s="51" t="s">
        <v>87</v>
      </c>
      <c r="G70" s="9"/>
      <c r="H70" s="9" t="s">
        <v>88</v>
      </c>
      <c r="I70" s="9">
        <v>9953391</v>
      </c>
      <c r="J70" s="10">
        <v>1</v>
      </c>
      <c r="K70" s="11" t="s">
        <v>89</v>
      </c>
      <c r="L70" s="12" t="s">
        <v>76</v>
      </c>
      <c r="M70" s="53" t="s">
        <v>239</v>
      </c>
      <c r="N70" s="9" t="s">
        <v>240</v>
      </c>
      <c r="O70" s="70"/>
      <c r="P70" s="13"/>
      <c r="Q70" s="10"/>
      <c r="R70" s="10"/>
      <c r="S70" s="10"/>
      <c r="T70" s="13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 t="s">
        <v>241</v>
      </c>
      <c r="AM70" s="10"/>
      <c r="AN70" s="10"/>
      <c r="AO70" s="72"/>
      <c r="AP70" s="72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</row>
    <row r="71" spans="1:57" x14ac:dyDescent="0.25">
      <c r="A71" s="9">
        <v>65</v>
      </c>
      <c r="B71" s="48" t="s">
        <v>233</v>
      </c>
      <c r="C71" s="69" t="s">
        <v>242</v>
      </c>
      <c r="D71" s="6" t="s">
        <v>69</v>
      </c>
      <c r="E71" s="50" t="s">
        <v>72</v>
      </c>
      <c r="F71" s="51" t="s">
        <v>87</v>
      </c>
      <c r="G71" s="9"/>
      <c r="H71" s="9" t="s">
        <v>88</v>
      </c>
      <c r="I71" s="9">
        <v>9953391</v>
      </c>
      <c r="J71" s="10">
        <v>1</v>
      </c>
      <c r="K71" s="11" t="s">
        <v>89</v>
      </c>
      <c r="L71" s="12" t="s">
        <v>76</v>
      </c>
      <c r="M71" s="53" t="s">
        <v>243</v>
      </c>
      <c r="N71" s="9" t="s">
        <v>244</v>
      </c>
      <c r="O71" s="70"/>
      <c r="P71" s="13"/>
      <c r="Q71" s="10"/>
      <c r="R71" s="10"/>
      <c r="S71" s="10"/>
      <c r="T71" s="13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 t="s">
        <v>241</v>
      </c>
      <c r="AM71" s="10"/>
      <c r="AN71" s="10"/>
      <c r="AO71" s="72"/>
      <c r="AP71" s="72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</row>
    <row r="72" spans="1:57" x14ac:dyDescent="0.25">
      <c r="A72" s="9">
        <v>66</v>
      </c>
      <c r="B72" s="48" t="s">
        <v>233</v>
      </c>
      <c r="C72" s="69" t="s">
        <v>245</v>
      </c>
      <c r="D72" s="6" t="s">
        <v>69</v>
      </c>
      <c r="E72" s="50" t="s">
        <v>72</v>
      </c>
      <c r="F72" s="51" t="s">
        <v>87</v>
      </c>
      <c r="G72" s="9"/>
      <c r="H72" s="9" t="s">
        <v>88</v>
      </c>
      <c r="I72" s="9" t="s">
        <v>151</v>
      </c>
      <c r="J72" s="10">
        <v>9</v>
      </c>
      <c r="K72" s="11" t="s">
        <v>89</v>
      </c>
      <c r="L72" s="12" t="s">
        <v>76</v>
      </c>
      <c r="M72" s="53" t="s">
        <v>167</v>
      </c>
      <c r="N72" s="9" t="s">
        <v>246</v>
      </c>
      <c r="O72" s="70"/>
      <c r="P72" s="13"/>
      <c r="Q72" s="10"/>
      <c r="R72" s="10"/>
      <c r="S72" s="10"/>
      <c r="T72" s="13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 t="s">
        <v>241</v>
      </c>
      <c r="AM72" s="10"/>
      <c r="AN72" s="10"/>
      <c r="AO72" s="72"/>
      <c r="AP72" s="72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</row>
    <row r="73" spans="1:57" x14ac:dyDescent="0.25">
      <c r="A73" s="9">
        <v>67</v>
      </c>
      <c r="B73" s="48" t="s">
        <v>233</v>
      </c>
      <c r="C73" s="69" t="s">
        <v>247</v>
      </c>
      <c r="D73" s="6" t="s">
        <v>69</v>
      </c>
      <c r="E73" s="50" t="s">
        <v>72</v>
      </c>
      <c r="F73" s="51" t="s">
        <v>87</v>
      </c>
      <c r="G73" s="9"/>
      <c r="H73" s="9" t="s">
        <v>88</v>
      </c>
      <c r="I73" s="9" t="s">
        <v>151</v>
      </c>
      <c r="J73" s="10">
        <v>1</v>
      </c>
      <c r="K73" s="11" t="s">
        <v>89</v>
      </c>
      <c r="L73" s="12" t="s">
        <v>76</v>
      </c>
      <c r="M73" s="53" t="s">
        <v>167</v>
      </c>
      <c r="N73" s="9" t="s">
        <v>248</v>
      </c>
      <c r="O73" s="70"/>
      <c r="P73" s="13"/>
      <c r="Q73" s="10"/>
      <c r="R73" s="10"/>
      <c r="S73" s="10"/>
      <c r="T73" s="13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 t="s">
        <v>241</v>
      </c>
      <c r="AM73" s="10"/>
      <c r="AN73" s="10"/>
      <c r="AO73" s="72"/>
      <c r="AP73" s="72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</row>
    <row r="74" spans="1:57" x14ac:dyDescent="0.25">
      <c r="A74" s="9">
        <v>68</v>
      </c>
      <c r="B74" s="48" t="s">
        <v>233</v>
      </c>
      <c r="C74" s="69" t="s">
        <v>249</v>
      </c>
      <c r="D74" s="6" t="s">
        <v>69</v>
      </c>
      <c r="E74" s="50" t="s">
        <v>72</v>
      </c>
      <c r="F74" s="51" t="s">
        <v>87</v>
      </c>
      <c r="G74" s="9"/>
      <c r="H74" s="9" t="s">
        <v>116</v>
      </c>
      <c r="I74" s="9">
        <v>9953391</v>
      </c>
      <c r="J74" s="10">
        <v>26</v>
      </c>
      <c r="K74" s="11" t="s">
        <v>89</v>
      </c>
      <c r="L74" s="12" t="s">
        <v>76</v>
      </c>
      <c r="M74" s="53" t="s">
        <v>193</v>
      </c>
      <c r="N74" s="9" t="s">
        <v>250</v>
      </c>
      <c r="O74" s="70"/>
      <c r="P74" s="13"/>
      <c r="Q74" s="10"/>
      <c r="R74" s="10"/>
      <c r="S74" s="10"/>
      <c r="T74" s="13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 t="s">
        <v>241</v>
      </c>
      <c r="AM74" s="10"/>
      <c r="AN74" s="10"/>
      <c r="AO74" s="72"/>
      <c r="AP74" s="72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</row>
    <row r="75" spans="1:57" x14ac:dyDescent="0.25">
      <c r="A75" s="9">
        <v>69</v>
      </c>
      <c r="B75" s="48" t="s">
        <v>233</v>
      </c>
      <c r="C75" s="49" t="s">
        <v>251</v>
      </c>
      <c r="D75" s="6" t="s">
        <v>69</v>
      </c>
      <c r="E75" s="50" t="s">
        <v>72</v>
      </c>
      <c r="F75" s="51" t="s">
        <v>87</v>
      </c>
      <c r="G75" s="9"/>
      <c r="H75" s="9" t="s">
        <v>88</v>
      </c>
      <c r="I75" s="9" t="s">
        <v>151</v>
      </c>
      <c r="J75" s="10">
        <v>11</v>
      </c>
      <c r="K75" s="10" t="s">
        <v>89</v>
      </c>
      <c r="L75" s="13" t="s">
        <v>76</v>
      </c>
      <c r="M75" s="53" t="s">
        <v>167</v>
      </c>
      <c r="N75" s="9" t="s">
        <v>252</v>
      </c>
      <c r="O75" s="70"/>
      <c r="P75" s="13"/>
      <c r="Q75" s="10"/>
      <c r="R75" s="10"/>
      <c r="S75" s="10"/>
      <c r="T75" s="13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72"/>
      <c r="AP75" s="72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</row>
    <row r="76" spans="1:57" x14ac:dyDescent="0.25">
      <c r="A76" s="9">
        <v>70</v>
      </c>
      <c r="B76" s="48" t="s">
        <v>233</v>
      </c>
      <c r="C76" s="69" t="s">
        <v>253</v>
      </c>
      <c r="D76" s="6" t="s">
        <v>69</v>
      </c>
      <c r="E76" s="50" t="s">
        <v>72</v>
      </c>
      <c r="F76" s="51" t="s">
        <v>87</v>
      </c>
      <c r="G76" s="9"/>
      <c r="H76" s="9" t="s">
        <v>88</v>
      </c>
      <c r="I76" s="9">
        <v>9953391</v>
      </c>
      <c r="J76" s="10">
        <v>2</v>
      </c>
      <c r="K76" s="11" t="s">
        <v>89</v>
      </c>
      <c r="L76" s="12" t="s">
        <v>76</v>
      </c>
      <c r="M76" s="53" t="s">
        <v>167</v>
      </c>
      <c r="N76" s="9" t="s">
        <v>254</v>
      </c>
      <c r="O76" s="70"/>
      <c r="P76" s="13"/>
      <c r="Q76" s="10"/>
      <c r="R76" s="10"/>
      <c r="S76" s="10"/>
      <c r="T76" s="13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 t="s">
        <v>241</v>
      </c>
      <c r="AM76" s="10"/>
      <c r="AN76" s="10"/>
      <c r="AO76" s="72"/>
      <c r="AP76" s="72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</row>
    <row r="77" spans="1:57" x14ac:dyDescent="0.25">
      <c r="A77" s="9">
        <v>71</v>
      </c>
      <c r="B77" s="48" t="s">
        <v>233</v>
      </c>
      <c r="C77" s="49" t="s">
        <v>255</v>
      </c>
      <c r="D77" s="6" t="s">
        <v>69</v>
      </c>
      <c r="E77" s="50" t="s">
        <v>72</v>
      </c>
      <c r="F77" s="51" t="s">
        <v>87</v>
      </c>
      <c r="G77" s="9"/>
      <c r="H77" s="9" t="s">
        <v>88</v>
      </c>
      <c r="I77" s="9" t="s">
        <v>151</v>
      </c>
      <c r="J77" s="10">
        <v>1</v>
      </c>
      <c r="K77" s="9" t="s">
        <v>96</v>
      </c>
      <c r="L77" s="14" t="s">
        <v>97</v>
      </c>
      <c r="M77" s="53" t="s">
        <v>167</v>
      </c>
      <c r="N77" s="9" t="s">
        <v>256</v>
      </c>
      <c r="O77" s="70"/>
      <c r="P77" s="13"/>
      <c r="Q77" s="10"/>
      <c r="R77" s="10"/>
      <c r="S77" s="10"/>
      <c r="T77" s="13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 t="s">
        <v>100</v>
      </c>
      <c r="AL77" s="10"/>
      <c r="AM77" s="9">
        <v>1</v>
      </c>
      <c r="AN77" s="10" t="s">
        <v>175</v>
      </c>
      <c r="AO77" s="72">
        <v>46283</v>
      </c>
      <c r="AP77" s="72">
        <v>46283</v>
      </c>
      <c r="AQ77" s="10">
        <v>15</v>
      </c>
      <c r="AR77" s="10" t="s">
        <v>103</v>
      </c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</row>
    <row r="78" spans="1:57" x14ac:dyDescent="0.25">
      <c r="A78" s="9">
        <v>72</v>
      </c>
      <c r="B78" s="48" t="s">
        <v>233</v>
      </c>
      <c r="C78" s="69" t="s">
        <v>257</v>
      </c>
      <c r="D78" s="6" t="s">
        <v>69</v>
      </c>
      <c r="E78" s="50" t="s">
        <v>72</v>
      </c>
      <c r="F78" s="51" t="s">
        <v>87</v>
      </c>
      <c r="G78" s="9"/>
      <c r="H78" s="9" t="s">
        <v>88</v>
      </c>
      <c r="I78" s="9">
        <v>9953391</v>
      </c>
      <c r="J78" s="10">
        <v>10</v>
      </c>
      <c r="K78" s="11" t="s">
        <v>89</v>
      </c>
      <c r="L78" s="12" t="s">
        <v>76</v>
      </c>
      <c r="M78" s="53" t="s">
        <v>167</v>
      </c>
      <c r="N78" s="9" t="s">
        <v>258</v>
      </c>
      <c r="O78" s="70"/>
      <c r="P78" s="13"/>
      <c r="Q78" s="10"/>
      <c r="R78" s="10"/>
      <c r="S78" s="10"/>
      <c r="T78" s="13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 t="s">
        <v>241</v>
      </c>
      <c r="AM78" s="10"/>
      <c r="AN78" s="10"/>
      <c r="AO78" s="72"/>
      <c r="AP78" s="72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</row>
    <row r="79" spans="1:57" x14ac:dyDescent="0.25">
      <c r="A79" s="9">
        <v>73</v>
      </c>
      <c r="B79" s="48" t="s">
        <v>233</v>
      </c>
      <c r="C79" s="49" t="s">
        <v>259</v>
      </c>
      <c r="D79" s="6" t="s">
        <v>69</v>
      </c>
      <c r="E79" s="50" t="s">
        <v>72</v>
      </c>
      <c r="F79" s="51" t="s">
        <v>87</v>
      </c>
      <c r="G79" s="9"/>
      <c r="H79" s="9" t="s">
        <v>88</v>
      </c>
      <c r="I79" s="9" t="s">
        <v>151</v>
      </c>
      <c r="J79" s="10">
        <v>26</v>
      </c>
      <c r="K79" s="10" t="s">
        <v>89</v>
      </c>
      <c r="L79" s="13" t="s">
        <v>76</v>
      </c>
      <c r="M79" s="53" t="s">
        <v>260</v>
      </c>
      <c r="N79" s="9" t="s">
        <v>261</v>
      </c>
      <c r="O79" s="70"/>
      <c r="P79" s="13"/>
      <c r="Q79" s="10"/>
      <c r="R79" s="10"/>
      <c r="S79" s="10"/>
      <c r="T79" s="13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72"/>
      <c r="AP79" s="72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</row>
    <row r="80" spans="1:57" x14ac:dyDescent="0.25">
      <c r="A80" s="9">
        <v>74</v>
      </c>
      <c r="B80" s="48" t="s">
        <v>233</v>
      </c>
      <c r="C80" s="69" t="s">
        <v>262</v>
      </c>
      <c r="D80" s="6" t="s">
        <v>69</v>
      </c>
      <c r="E80" s="50" t="s">
        <v>72</v>
      </c>
      <c r="F80" s="51" t="s">
        <v>87</v>
      </c>
      <c r="G80" s="9"/>
      <c r="H80" s="9" t="s">
        <v>116</v>
      </c>
      <c r="I80" s="9" t="s">
        <v>74</v>
      </c>
      <c r="J80" s="10">
        <v>1</v>
      </c>
      <c r="K80" s="11" t="s">
        <v>89</v>
      </c>
      <c r="L80" s="12" t="s">
        <v>76</v>
      </c>
      <c r="M80" s="53" t="s">
        <v>263</v>
      </c>
      <c r="N80" s="9" t="s">
        <v>264</v>
      </c>
      <c r="O80" s="70"/>
      <c r="P80" s="13"/>
      <c r="Q80" s="10"/>
      <c r="R80" s="10"/>
      <c r="S80" s="10"/>
      <c r="T80" s="13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 t="s">
        <v>241</v>
      </c>
      <c r="AM80" s="10"/>
      <c r="AN80" s="10"/>
      <c r="AO80" s="72"/>
      <c r="AP80" s="72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</row>
    <row r="81" spans="1:57" x14ac:dyDescent="0.25">
      <c r="A81" s="9">
        <v>75</v>
      </c>
      <c r="B81" s="48" t="s">
        <v>233</v>
      </c>
      <c r="C81" s="69" t="s">
        <v>265</v>
      </c>
      <c r="D81" s="6" t="s">
        <v>69</v>
      </c>
      <c r="E81" s="50" t="s">
        <v>72</v>
      </c>
      <c r="F81" s="51" t="s">
        <v>87</v>
      </c>
      <c r="G81" s="9"/>
      <c r="H81" s="9" t="s">
        <v>88</v>
      </c>
      <c r="I81" s="9" t="s">
        <v>151</v>
      </c>
      <c r="J81" s="10">
        <v>77</v>
      </c>
      <c r="K81" s="11" t="s">
        <v>89</v>
      </c>
      <c r="L81" s="12" t="s">
        <v>76</v>
      </c>
      <c r="M81" s="53" t="s">
        <v>263</v>
      </c>
      <c r="N81" s="9" t="s">
        <v>266</v>
      </c>
      <c r="O81" s="70"/>
      <c r="P81" s="13"/>
      <c r="Q81" s="10"/>
      <c r="R81" s="10"/>
      <c r="S81" s="10"/>
      <c r="T81" s="13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 t="s">
        <v>241</v>
      </c>
      <c r="AM81" s="10"/>
      <c r="AN81" s="10"/>
      <c r="AO81" s="72"/>
      <c r="AP81" s="72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</row>
    <row r="82" spans="1:57" x14ac:dyDescent="0.25">
      <c r="A82" s="9">
        <v>76</v>
      </c>
      <c r="B82" s="48" t="s">
        <v>233</v>
      </c>
      <c r="C82" s="49" t="s">
        <v>267</v>
      </c>
      <c r="D82" s="6" t="s">
        <v>69</v>
      </c>
      <c r="E82" s="50" t="s">
        <v>72</v>
      </c>
      <c r="F82" s="51" t="s">
        <v>87</v>
      </c>
      <c r="G82" s="9"/>
      <c r="H82" s="9" t="s">
        <v>88</v>
      </c>
      <c r="I82" s="9" t="s">
        <v>151</v>
      </c>
      <c r="J82" s="10">
        <v>129</v>
      </c>
      <c r="K82" s="10" t="s">
        <v>96</v>
      </c>
      <c r="L82" s="13" t="s">
        <v>97</v>
      </c>
      <c r="M82" s="53" t="s">
        <v>167</v>
      </c>
      <c r="N82" s="9" t="s">
        <v>268</v>
      </c>
      <c r="O82" s="70"/>
      <c r="P82" s="13"/>
      <c r="Q82" s="10"/>
      <c r="R82" s="10"/>
      <c r="S82" s="10"/>
      <c r="T82" s="13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 t="s">
        <v>100</v>
      </c>
      <c r="AL82" s="10"/>
      <c r="AM82" s="9" t="s">
        <v>269</v>
      </c>
      <c r="AN82" s="10" t="s">
        <v>175</v>
      </c>
      <c r="AO82" s="72"/>
      <c r="AP82" s="72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</row>
    <row r="83" spans="1:57" x14ac:dyDescent="0.25">
      <c r="A83" s="9">
        <v>77</v>
      </c>
      <c r="B83" s="48" t="s">
        <v>233</v>
      </c>
      <c r="C83" s="69" t="s">
        <v>270</v>
      </c>
      <c r="D83" s="6" t="s">
        <v>69</v>
      </c>
      <c r="E83" s="50" t="s">
        <v>72</v>
      </c>
      <c r="F83" s="51" t="s">
        <v>87</v>
      </c>
      <c r="G83" s="9"/>
      <c r="H83" s="9" t="s">
        <v>88</v>
      </c>
      <c r="I83" s="9" t="s">
        <v>151</v>
      </c>
      <c r="J83" s="10">
        <v>65</v>
      </c>
      <c r="K83" s="11" t="s">
        <v>89</v>
      </c>
      <c r="L83" s="12" t="s">
        <v>76</v>
      </c>
      <c r="M83" s="53" t="s">
        <v>167</v>
      </c>
      <c r="N83" s="9" t="s">
        <v>271</v>
      </c>
      <c r="O83" s="70"/>
      <c r="P83" s="13"/>
      <c r="Q83" s="10"/>
      <c r="R83" s="10"/>
      <c r="S83" s="10"/>
      <c r="T83" s="13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 t="s">
        <v>241</v>
      </c>
      <c r="AM83" s="10"/>
      <c r="AN83" s="10"/>
      <c r="AO83" s="72"/>
      <c r="AP83" s="72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</row>
    <row r="84" spans="1:57" x14ac:dyDescent="0.25">
      <c r="A84" s="9">
        <v>78</v>
      </c>
      <c r="B84" s="48" t="s">
        <v>233</v>
      </c>
      <c r="C84" s="69" t="s">
        <v>272</v>
      </c>
      <c r="D84" s="6" t="s">
        <v>69</v>
      </c>
      <c r="E84" s="50" t="s">
        <v>72</v>
      </c>
      <c r="F84" s="51" t="s">
        <v>87</v>
      </c>
      <c r="G84" s="9"/>
      <c r="H84" s="9" t="s">
        <v>88</v>
      </c>
      <c r="I84" s="9">
        <v>9953391</v>
      </c>
      <c r="J84" s="10">
        <v>7</v>
      </c>
      <c r="K84" s="11" t="s">
        <v>89</v>
      </c>
      <c r="L84" s="12" t="s">
        <v>76</v>
      </c>
      <c r="M84" s="53" t="s">
        <v>273</v>
      </c>
      <c r="N84" s="9" t="s">
        <v>274</v>
      </c>
      <c r="O84" s="70"/>
      <c r="P84" s="13"/>
      <c r="Q84" s="10"/>
      <c r="R84" s="10"/>
      <c r="S84" s="10"/>
      <c r="T84" s="13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 t="s">
        <v>241</v>
      </c>
      <c r="AM84" s="10"/>
      <c r="AN84" s="10"/>
      <c r="AO84" s="72"/>
      <c r="AP84" s="72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 spans="1:57" x14ac:dyDescent="0.25">
      <c r="A85" s="9">
        <v>79</v>
      </c>
      <c r="B85" s="48" t="s">
        <v>233</v>
      </c>
      <c r="C85" s="49" t="s">
        <v>275</v>
      </c>
      <c r="D85" s="6" t="s">
        <v>69</v>
      </c>
      <c r="E85" s="50" t="s">
        <v>72</v>
      </c>
      <c r="F85" s="51" t="s">
        <v>87</v>
      </c>
      <c r="G85" s="9"/>
      <c r="H85" s="9" t="s">
        <v>88</v>
      </c>
      <c r="I85" s="9">
        <v>9953391</v>
      </c>
      <c r="J85" s="10">
        <v>74</v>
      </c>
      <c r="K85" s="10" t="s">
        <v>96</v>
      </c>
      <c r="L85" s="13" t="s">
        <v>97</v>
      </c>
      <c r="M85" s="53" t="s">
        <v>273</v>
      </c>
      <c r="N85" s="9" t="s">
        <v>274</v>
      </c>
      <c r="O85" s="70"/>
      <c r="P85" s="13"/>
      <c r="Q85" s="10"/>
      <c r="R85" s="10"/>
      <c r="S85" s="10"/>
      <c r="T85" s="13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 t="s">
        <v>100</v>
      </c>
      <c r="AL85" s="10" t="s">
        <v>276</v>
      </c>
      <c r="AM85" s="9" t="s">
        <v>277</v>
      </c>
      <c r="AN85" s="10"/>
      <c r="AO85" s="72"/>
      <c r="AP85" s="72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 spans="1:57" x14ac:dyDescent="0.25">
      <c r="A86" s="9">
        <v>80</v>
      </c>
      <c r="B86" s="48" t="s">
        <v>233</v>
      </c>
      <c r="C86" s="49" t="s">
        <v>278</v>
      </c>
      <c r="D86" s="6" t="s">
        <v>69</v>
      </c>
      <c r="E86" s="50" t="s">
        <v>72</v>
      </c>
      <c r="F86" s="51" t="s">
        <v>87</v>
      </c>
      <c r="G86" s="9"/>
      <c r="H86" s="9" t="s">
        <v>88</v>
      </c>
      <c r="I86" s="9">
        <v>9953391</v>
      </c>
      <c r="J86" s="10">
        <v>507</v>
      </c>
      <c r="K86" s="10" t="s">
        <v>96</v>
      </c>
      <c r="L86" s="13" t="s">
        <v>97</v>
      </c>
      <c r="M86" s="53" t="s">
        <v>279</v>
      </c>
      <c r="N86" s="9" t="s">
        <v>280</v>
      </c>
      <c r="O86" s="70"/>
      <c r="P86" s="13"/>
      <c r="Q86" s="10"/>
      <c r="R86" s="10"/>
      <c r="S86" s="10"/>
      <c r="T86" s="13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 t="s">
        <v>100</v>
      </c>
      <c r="AL86" s="10"/>
      <c r="AM86" s="9" t="s">
        <v>281</v>
      </c>
      <c r="AN86" s="10" t="s">
        <v>282</v>
      </c>
      <c r="AO86" s="72"/>
      <c r="AP86" s="72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 spans="1:57" x14ac:dyDescent="0.25">
      <c r="A87" s="9">
        <v>81</v>
      </c>
      <c r="B87" s="48" t="s">
        <v>233</v>
      </c>
      <c r="C87" s="49" t="s">
        <v>283</v>
      </c>
      <c r="D87" s="6" t="s">
        <v>69</v>
      </c>
      <c r="E87" s="50" t="s">
        <v>72</v>
      </c>
      <c r="F87" s="51" t="s">
        <v>87</v>
      </c>
      <c r="G87" s="9"/>
      <c r="H87" s="9" t="s">
        <v>88</v>
      </c>
      <c r="I87" s="9" t="s">
        <v>74</v>
      </c>
      <c r="J87" s="9">
        <v>215</v>
      </c>
      <c r="K87" s="10" t="s">
        <v>96</v>
      </c>
      <c r="L87" s="13" t="s">
        <v>97</v>
      </c>
      <c r="M87" s="53" t="s">
        <v>284</v>
      </c>
      <c r="N87" s="9" t="s">
        <v>285</v>
      </c>
      <c r="O87" s="70"/>
      <c r="P87" s="13"/>
      <c r="Q87" s="10"/>
      <c r="R87" s="10"/>
      <c r="S87" s="10"/>
      <c r="T87" s="13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 t="s">
        <v>100</v>
      </c>
      <c r="AL87" s="10"/>
      <c r="AM87" s="9" t="s">
        <v>286</v>
      </c>
      <c r="AN87" s="10" t="s">
        <v>175</v>
      </c>
      <c r="AO87" s="72">
        <v>46281</v>
      </c>
      <c r="AP87" s="72">
        <v>46281</v>
      </c>
      <c r="AQ87" s="10">
        <v>159</v>
      </c>
      <c r="AR87" s="10" t="s">
        <v>103</v>
      </c>
      <c r="AS87" s="2" t="s">
        <v>287</v>
      </c>
      <c r="AT87" s="10"/>
      <c r="AU87" s="10"/>
      <c r="AV87" s="10"/>
      <c r="AW87" s="10"/>
      <c r="AX87" s="10"/>
      <c r="AY87" s="10" t="s">
        <v>288</v>
      </c>
      <c r="AZ87" s="72">
        <v>46282</v>
      </c>
      <c r="BA87" s="72">
        <v>46282</v>
      </c>
      <c r="BB87" s="10">
        <v>160</v>
      </c>
      <c r="BC87" s="10" t="s">
        <v>103</v>
      </c>
      <c r="BD87" s="10" t="s">
        <v>289</v>
      </c>
      <c r="BE87" s="82" t="s">
        <v>290</v>
      </c>
    </row>
    <row r="88" spans="1:57" x14ac:dyDescent="0.25">
      <c r="A88" s="9">
        <v>82</v>
      </c>
      <c r="B88" s="48" t="s">
        <v>233</v>
      </c>
      <c r="C88" s="49" t="s">
        <v>291</v>
      </c>
      <c r="D88" s="6" t="s">
        <v>69</v>
      </c>
      <c r="E88" s="50" t="s">
        <v>72</v>
      </c>
      <c r="F88" s="51" t="s">
        <v>87</v>
      </c>
      <c r="G88" s="9"/>
      <c r="H88" s="9" t="s">
        <v>292</v>
      </c>
      <c r="I88" s="9" t="s">
        <v>74</v>
      </c>
      <c r="J88" s="9">
        <v>315</v>
      </c>
      <c r="K88" s="10" t="s">
        <v>96</v>
      </c>
      <c r="L88" s="13" t="s">
        <v>97</v>
      </c>
      <c r="M88" s="53" t="s">
        <v>293</v>
      </c>
      <c r="N88" s="9" t="s">
        <v>294</v>
      </c>
      <c r="O88" s="70"/>
      <c r="P88" s="13"/>
      <c r="Q88" s="10"/>
      <c r="R88" s="10"/>
      <c r="S88" s="10"/>
      <c r="T88" s="13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 t="s">
        <v>100</v>
      </c>
      <c r="AL88" s="10"/>
      <c r="AM88" s="73" t="s">
        <v>295</v>
      </c>
      <c r="AN88" s="10" t="s">
        <v>296</v>
      </c>
      <c r="AO88" s="72">
        <v>46281</v>
      </c>
      <c r="AP88" s="72">
        <v>46282</v>
      </c>
      <c r="AQ88" s="10">
        <v>552</v>
      </c>
      <c r="AR88" s="10" t="s">
        <v>103</v>
      </c>
      <c r="AS88" s="2" t="s">
        <v>297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  <row r="89" spans="1:57" x14ac:dyDescent="0.25">
      <c r="A89" s="9">
        <v>83</v>
      </c>
      <c r="B89" s="48" t="s">
        <v>233</v>
      </c>
      <c r="C89" s="49" t="s">
        <v>298</v>
      </c>
      <c r="D89" s="6" t="s">
        <v>69</v>
      </c>
      <c r="E89" s="50" t="s">
        <v>72</v>
      </c>
      <c r="F89" s="51" t="s">
        <v>87</v>
      </c>
      <c r="G89" s="9"/>
      <c r="H89" s="9" t="s">
        <v>116</v>
      </c>
      <c r="I89" s="9" t="s">
        <v>74</v>
      </c>
      <c r="J89" s="9">
        <v>5</v>
      </c>
      <c r="K89" s="10" t="s">
        <v>96</v>
      </c>
      <c r="L89" s="13" t="s">
        <v>97</v>
      </c>
      <c r="M89" s="53" t="s">
        <v>299</v>
      </c>
      <c r="N89" s="9" t="s">
        <v>300</v>
      </c>
      <c r="O89" s="70"/>
      <c r="P89" s="13"/>
      <c r="Q89" s="10"/>
      <c r="R89" s="10"/>
      <c r="S89" s="10"/>
      <c r="T89" s="13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9" t="s">
        <v>100</v>
      </c>
      <c r="AL89" s="10"/>
      <c r="AM89" s="9" t="s">
        <v>301</v>
      </c>
      <c r="AN89" s="10" t="s">
        <v>296</v>
      </c>
      <c r="AO89" s="72">
        <v>46281</v>
      </c>
      <c r="AP89" s="72">
        <v>46281</v>
      </c>
      <c r="AQ89" s="10">
        <v>13</v>
      </c>
      <c r="AR89" s="10" t="s">
        <v>103</v>
      </c>
      <c r="AS89" s="2" t="s">
        <v>302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</row>
    <row r="90" spans="1:57" x14ac:dyDescent="0.25">
      <c r="A90" s="9">
        <v>84</v>
      </c>
      <c r="B90" s="48" t="s">
        <v>233</v>
      </c>
      <c r="C90" s="49" t="s">
        <v>303</v>
      </c>
      <c r="D90" s="6" t="s">
        <v>69</v>
      </c>
      <c r="E90" s="50" t="s">
        <v>72</v>
      </c>
      <c r="F90" s="51" t="s">
        <v>87</v>
      </c>
      <c r="G90" s="9"/>
      <c r="H90" s="9">
        <v>4193</v>
      </c>
      <c r="I90" s="9" t="s">
        <v>74</v>
      </c>
      <c r="J90" s="9">
        <v>2</v>
      </c>
      <c r="K90" s="10" t="s">
        <v>96</v>
      </c>
      <c r="L90" s="13" t="s">
        <v>97</v>
      </c>
      <c r="M90" s="53" t="s">
        <v>304</v>
      </c>
      <c r="N90" s="9" t="s">
        <v>304</v>
      </c>
      <c r="O90" s="70"/>
      <c r="P90" s="13"/>
      <c r="Q90" s="10"/>
      <c r="R90" s="10"/>
      <c r="S90" s="10"/>
      <c r="T90" s="13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9" t="s">
        <v>100</v>
      </c>
      <c r="AL90" s="10"/>
      <c r="AM90" s="9">
        <v>2</v>
      </c>
      <c r="AN90" s="10" t="s">
        <v>296</v>
      </c>
      <c r="AO90" s="72">
        <v>46281</v>
      </c>
      <c r="AP90" s="72">
        <v>46281</v>
      </c>
      <c r="AQ90" s="10">
        <v>14</v>
      </c>
      <c r="AR90" s="10" t="s">
        <v>103</v>
      </c>
      <c r="AS90" s="2" t="s">
        <v>305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</row>
    <row r="91" spans="1:57" x14ac:dyDescent="0.25">
      <c r="A91" s="9">
        <v>85</v>
      </c>
      <c r="B91" s="48" t="s">
        <v>233</v>
      </c>
      <c r="C91" s="49" t="s">
        <v>306</v>
      </c>
      <c r="D91" s="6" t="s">
        <v>69</v>
      </c>
      <c r="E91" s="50" t="s">
        <v>72</v>
      </c>
      <c r="F91" s="51" t="s">
        <v>87</v>
      </c>
      <c r="G91" s="9"/>
      <c r="H91" s="9" t="s">
        <v>88</v>
      </c>
      <c r="I91" s="9" t="s">
        <v>151</v>
      </c>
      <c r="J91" s="9">
        <v>27</v>
      </c>
      <c r="K91" s="9" t="s">
        <v>89</v>
      </c>
      <c r="L91" s="9" t="s">
        <v>76</v>
      </c>
      <c r="M91" s="53" t="s">
        <v>167</v>
      </c>
      <c r="N91" s="3" t="s">
        <v>307</v>
      </c>
      <c r="O91" s="70"/>
      <c r="P91" s="13"/>
      <c r="Q91" s="10"/>
      <c r="R91" s="10"/>
      <c r="S91" s="10"/>
      <c r="T91" s="13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72"/>
      <c r="AP91" s="72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</row>
    <row r="92" spans="1:57" x14ac:dyDescent="0.25">
      <c r="A92" s="9">
        <v>86</v>
      </c>
      <c r="B92" s="48" t="s">
        <v>233</v>
      </c>
      <c r="C92" s="49" t="s">
        <v>308</v>
      </c>
      <c r="D92" s="6" t="s">
        <v>69</v>
      </c>
      <c r="E92" s="50" t="s">
        <v>72</v>
      </c>
      <c r="F92" s="51" t="s">
        <v>87</v>
      </c>
      <c r="G92" s="9"/>
      <c r="H92" s="9" t="s">
        <v>88</v>
      </c>
      <c r="I92" s="9" t="s">
        <v>74</v>
      </c>
      <c r="J92" s="9">
        <v>230</v>
      </c>
      <c r="K92" s="10" t="s">
        <v>96</v>
      </c>
      <c r="L92" s="13" t="s">
        <v>97</v>
      </c>
      <c r="M92" s="53" t="s">
        <v>201</v>
      </c>
      <c r="N92" s="9" t="s">
        <v>309</v>
      </c>
      <c r="O92" s="70"/>
      <c r="P92" s="13"/>
      <c r="Q92" s="10"/>
      <c r="R92" s="10"/>
      <c r="S92" s="10"/>
      <c r="T92" s="13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 t="s">
        <v>100</v>
      </c>
      <c r="AL92" s="10"/>
      <c r="AM92" s="9" t="s">
        <v>310</v>
      </c>
      <c r="AN92" s="10" t="s">
        <v>102</v>
      </c>
      <c r="AO92" s="72">
        <v>46281</v>
      </c>
      <c r="AP92" s="72">
        <v>46283</v>
      </c>
      <c r="AQ92" s="10">
        <v>1262</v>
      </c>
      <c r="AR92" s="10" t="s">
        <v>103</v>
      </c>
      <c r="AS92" s="2" t="s">
        <v>311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</row>
    <row r="93" spans="1:57" x14ac:dyDescent="0.25">
      <c r="A93" s="9">
        <v>87</v>
      </c>
      <c r="B93" s="48" t="s">
        <v>233</v>
      </c>
      <c r="C93" s="49" t="s">
        <v>312</v>
      </c>
      <c r="D93" s="6" t="s">
        <v>69</v>
      </c>
      <c r="E93" s="50" t="s">
        <v>72</v>
      </c>
      <c r="F93" s="51" t="s">
        <v>87</v>
      </c>
      <c r="G93" s="9"/>
      <c r="H93" s="9">
        <v>4193</v>
      </c>
      <c r="I93" s="9" t="s">
        <v>74</v>
      </c>
      <c r="J93" s="9">
        <v>22</v>
      </c>
      <c r="K93" s="10" t="s">
        <v>96</v>
      </c>
      <c r="L93" s="13" t="s">
        <v>97</v>
      </c>
      <c r="M93" s="53" t="s">
        <v>313</v>
      </c>
      <c r="N93" s="3" t="s">
        <v>314</v>
      </c>
      <c r="O93" s="70"/>
      <c r="P93" s="13"/>
      <c r="Q93" s="10"/>
      <c r="R93" s="10"/>
      <c r="S93" s="10"/>
      <c r="T93" s="13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9" t="s">
        <v>100</v>
      </c>
      <c r="AL93" s="10"/>
      <c r="AM93" s="9" t="s">
        <v>315</v>
      </c>
      <c r="AN93" s="10" t="s">
        <v>316</v>
      </c>
      <c r="AO93" s="72">
        <v>46280</v>
      </c>
      <c r="AP93" s="72">
        <v>46280</v>
      </c>
      <c r="AQ93" s="10">
        <v>113</v>
      </c>
      <c r="AR93" s="10" t="s">
        <v>103</v>
      </c>
      <c r="AS93" s="2" t="s">
        <v>317</v>
      </c>
      <c r="AT93" s="10"/>
      <c r="AU93" s="10"/>
      <c r="AV93" s="10"/>
      <c r="AW93" s="10"/>
      <c r="AX93" s="10"/>
      <c r="AY93" s="10" t="s">
        <v>318</v>
      </c>
      <c r="AZ93" s="10"/>
      <c r="BA93" s="10"/>
      <c r="BB93" s="10"/>
      <c r="BC93" s="10"/>
      <c r="BD93" s="10"/>
      <c r="BE93" s="10"/>
    </row>
    <row r="94" spans="1:57" x14ac:dyDescent="0.25">
      <c r="A94" s="9">
        <v>88</v>
      </c>
      <c r="B94" s="48" t="s">
        <v>233</v>
      </c>
      <c r="C94" s="49" t="s">
        <v>319</v>
      </c>
      <c r="D94" s="6" t="s">
        <v>69</v>
      </c>
      <c r="E94" s="50" t="s">
        <v>72</v>
      </c>
      <c r="F94" s="51" t="s">
        <v>87</v>
      </c>
      <c r="G94" s="9"/>
      <c r="H94" s="9" t="s">
        <v>88</v>
      </c>
      <c r="I94" s="9" t="s">
        <v>74</v>
      </c>
      <c r="J94" s="9">
        <v>136</v>
      </c>
      <c r="K94" s="10" t="s">
        <v>96</v>
      </c>
      <c r="L94" s="13" t="s">
        <v>97</v>
      </c>
      <c r="M94" s="53" t="s">
        <v>320</v>
      </c>
      <c r="N94" s="9" t="s">
        <v>321</v>
      </c>
      <c r="O94" s="70"/>
      <c r="P94" s="13"/>
      <c r="Q94" s="10"/>
      <c r="R94" s="10"/>
      <c r="S94" s="10"/>
      <c r="T94" s="13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9" t="s">
        <v>100</v>
      </c>
      <c r="AL94" s="10"/>
      <c r="AM94" s="9" t="s">
        <v>322</v>
      </c>
      <c r="AN94" s="10" t="s">
        <v>316</v>
      </c>
      <c r="AO94" s="72">
        <v>46280</v>
      </c>
      <c r="AP94" s="72">
        <v>46280</v>
      </c>
      <c r="AQ94" s="10">
        <v>331</v>
      </c>
      <c r="AR94" s="10" t="s">
        <v>103</v>
      </c>
      <c r="AS94" s="2" t="s">
        <v>323</v>
      </c>
      <c r="AT94" s="10"/>
      <c r="AU94" s="10"/>
      <c r="AV94" s="10"/>
      <c r="AW94" s="10"/>
      <c r="AX94" s="10"/>
      <c r="AY94" s="10" t="s">
        <v>318</v>
      </c>
      <c r="AZ94" s="10"/>
      <c r="BA94" s="10"/>
      <c r="BB94" s="10"/>
      <c r="BC94" s="10"/>
      <c r="BD94" s="10"/>
      <c r="BE94" s="10"/>
    </row>
    <row r="95" spans="1:57" s="47" customFormat="1" x14ac:dyDescent="0.25">
      <c r="A95" s="41">
        <v>89</v>
      </c>
      <c r="B95" s="42" t="s">
        <v>233</v>
      </c>
      <c r="C95" s="43" t="s">
        <v>324</v>
      </c>
      <c r="D95" s="44" t="s">
        <v>69</v>
      </c>
      <c r="E95" s="45" t="s">
        <v>70</v>
      </c>
      <c r="F95" s="44" t="s">
        <v>70</v>
      </c>
      <c r="G95" s="44" t="s">
        <v>70</v>
      </c>
      <c r="H95" s="44" t="s">
        <v>70</v>
      </c>
      <c r="I95" s="44" t="s">
        <v>70</v>
      </c>
      <c r="J95" s="44" t="s">
        <v>70</v>
      </c>
      <c r="K95" s="44" t="s">
        <v>70</v>
      </c>
      <c r="L95" s="44" t="s">
        <v>70</v>
      </c>
      <c r="M95" s="45" t="s">
        <v>70</v>
      </c>
      <c r="N95" s="9" t="s">
        <v>70</v>
      </c>
      <c r="O95" s="67"/>
      <c r="P95" s="46"/>
      <c r="Q95" s="41"/>
      <c r="R95" s="41"/>
      <c r="S95" s="41"/>
      <c r="T95" s="46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72"/>
      <c r="AP95" s="72"/>
      <c r="AQ95" s="41"/>
      <c r="AR95" s="41"/>
      <c r="AS95" s="41"/>
      <c r="AT95" s="41"/>
      <c r="AU95" s="41"/>
      <c r="AV95" s="41"/>
      <c r="AW95" s="41"/>
      <c r="AX95" s="41"/>
      <c r="AY95" s="10"/>
      <c r="AZ95" s="41"/>
      <c r="BA95" s="41"/>
      <c r="BB95" s="41"/>
      <c r="BC95" s="41"/>
      <c r="BD95" s="41"/>
      <c r="BE95" s="41"/>
    </row>
    <row r="96" spans="1:57" x14ac:dyDescent="0.25">
      <c r="A96" s="9">
        <v>90</v>
      </c>
      <c r="B96" s="48" t="s">
        <v>233</v>
      </c>
      <c r="C96" s="49" t="s">
        <v>325</v>
      </c>
      <c r="D96" s="6" t="s">
        <v>69</v>
      </c>
      <c r="E96" s="50" t="s">
        <v>72</v>
      </c>
      <c r="F96" s="51" t="s">
        <v>87</v>
      </c>
      <c r="G96" s="9"/>
      <c r="H96" s="9">
        <v>4193</v>
      </c>
      <c r="I96" s="9" t="s">
        <v>74</v>
      </c>
      <c r="J96" s="9">
        <v>66</v>
      </c>
      <c r="K96" s="10" t="s">
        <v>96</v>
      </c>
      <c r="L96" s="13" t="s">
        <v>97</v>
      </c>
      <c r="M96" s="53" t="s">
        <v>326</v>
      </c>
      <c r="N96" s="9" t="s">
        <v>327</v>
      </c>
      <c r="O96" s="70"/>
      <c r="P96" s="13"/>
      <c r="Q96" s="10"/>
      <c r="R96" s="10"/>
      <c r="S96" s="10"/>
      <c r="T96" s="13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 t="s">
        <v>100</v>
      </c>
      <c r="AL96" s="10"/>
      <c r="AM96" s="9" t="s">
        <v>328</v>
      </c>
      <c r="AN96" s="10" t="s">
        <v>329</v>
      </c>
      <c r="AO96" s="72">
        <v>46280</v>
      </c>
      <c r="AP96" s="72">
        <v>46280</v>
      </c>
      <c r="AQ96" s="10">
        <v>454</v>
      </c>
      <c r="AR96" s="10" t="s">
        <v>103</v>
      </c>
      <c r="AS96" s="10"/>
      <c r="AT96" s="10"/>
      <c r="AU96" s="10"/>
      <c r="AV96" s="10"/>
      <c r="AW96" s="10"/>
      <c r="AX96" s="10"/>
      <c r="AY96" s="10" t="s">
        <v>330</v>
      </c>
      <c r="AZ96" s="72">
        <v>46282</v>
      </c>
      <c r="BA96" s="72">
        <v>46282</v>
      </c>
      <c r="BB96" s="10">
        <v>453</v>
      </c>
      <c r="BC96" s="10" t="s">
        <v>103</v>
      </c>
      <c r="BD96" s="10"/>
      <c r="BE96" s="10"/>
    </row>
    <row r="97" spans="1:57" x14ac:dyDescent="0.25">
      <c r="A97" s="9">
        <v>91</v>
      </c>
      <c r="B97" s="48" t="s">
        <v>233</v>
      </c>
      <c r="C97" s="49" t="s">
        <v>331</v>
      </c>
      <c r="D97" s="6" t="s">
        <v>69</v>
      </c>
      <c r="E97" s="50" t="s">
        <v>72</v>
      </c>
      <c r="F97" s="51" t="s">
        <v>87</v>
      </c>
      <c r="G97" s="9"/>
      <c r="H97" s="9">
        <v>4193</v>
      </c>
      <c r="I97" s="9" t="s">
        <v>74</v>
      </c>
      <c r="J97" s="9">
        <v>56</v>
      </c>
      <c r="K97" s="10" t="s">
        <v>96</v>
      </c>
      <c r="L97" s="13" t="s">
        <v>97</v>
      </c>
      <c r="M97" s="53" t="s">
        <v>326</v>
      </c>
      <c r="N97" s="3" t="s">
        <v>332</v>
      </c>
      <c r="O97" s="70"/>
      <c r="P97" s="13"/>
      <c r="Q97" s="10"/>
      <c r="R97" s="10"/>
      <c r="S97" s="10"/>
      <c r="T97" s="13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 t="s">
        <v>100</v>
      </c>
      <c r="AL97" s="10"/>
      <c r="AM97" s="9" t="s">
        <v>333</v>
      </c>
      <c r="AN97" s="10" t="s">
        <v>329</v>
      </c>
      <c r="AO97" s="72">
        <v>46281</v>
      </c>
      <c r="AP97" s="72">
        <v>46281</v>
      </c>
      <c r="AQ97" s="10">
        <v>283</v>
      </c>
      <c r="AR97" s="10" t="s">
        <v>103</v>
      </c>
      <c r="AS97" s="10"/>
      <c r="AT97" s="10"/>
      <c r="AU97" s="10"/>
      <c r="AV97" s="10"/>
      <c r="AW97" s="10"/>
      <c r="AX97" s="10"/>
      <c r="AY97" s="10" t="s">
        <v>330</v>
      </c>
      <c r="AZ97" s="72">
        <v>46283</v>
      </c>
      <c r="BA97" s="10"/>
      <c r="BB97" s="10"/>
      <c r="BC97" s="10"/>
      <c r="BD97" s="10"/>
      <c r="BE97" s="10"/>
    </row>
    <row r="98" spans="1:57" x14ac:dyDescent="0.25">
      <c r="A98" s="9">
        <v>92</v>
      </c>
      <c r="B98" s="48" t="s">
        <v>233</v>
      </c>
      <c r="C98" s="49" t="s">
        <v>334</v>
      </c>
      <c r="D98" s="6" t="s">
        <v>69</v>
      </c>
      <c r="E98" s="50" t="s">
        <v>72</v>
      </c>
      <c r="F98" s="51" t="s">
        <v>87</v>
      </c>
      <c r="G98" s="9"/>
      <c r="H98" s="9">
        <v>4193</v>
      </c>
      <c r="I98" s="9" t="s">
        <v>74</v>
      </c>
      <c r="J98" s="9">
        <v>88</v>
      </c>
      <c r="K98" s="10" t="s">
        <v>96</v>
      </c>
      <c r="L98" s="13" t="s">
        <v>97</v>
      </c>
      <c r="M98" s="53" t="s">
        <v>239</v>
      </c>
      <c r="N98" s="9" t="s">
        <v>335</v>
      </c>
      <c r="O98" s="70"/>
      <c r="P98" s="13"/>
      <c r="Q98" s="10"/>
      <c r="R98" s="10"/>
      <c r="S98" s="10"/>
      <c r="T98" s="13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 t="s">
        <v>100</v>
      </c>
      <c r="AL98" s="10"/>
      <c r="AM98" s="9" t="s">
        <v>336</v>
      </c>
      <c r="AN98" s="10" t="s">
        <v>282</v>
      </c>
      <c r="AO98" s="72">
        <v>46280</v>
      </c>
      <c r="AP98" s="72">
        <v>46280</v>
      </c>
      <c r="AQ98" s="10">
        <v>217</v>
      </c>
      <c r="AR98" s="10" t="s">
        <v>103</v>
      </c>
      <c r="AS98" s="2" t="s">
        <v>337</v>
      </c>
      <c r="AT98" s="10"/>
      <c r="AU98" s="10"/>
      <c r="AV98" s="10"/>
      <c r="AW98" s="10"/>
      <c r="AX98" s="10"/>
      <c r="AY98" s="10" t="s">
        <v>105</v>
      </c>
      <c r="AZ98" s="10"/>
      <c r="BA98" s="10"/>
      <c r="BB98" s="10"/>
      <c r="BC98" s="10"/>
      <c r="BD98" s="10"/>
      <c r="BE98" s="10"/>
    </row>
    <row r="99" spans="1:57" x14ac:dyDescent="0.25">
      <c r="A99" s="9">
        <v>93</v>
      </c>
      <c r="B99" s="48" t="s">
        <v>233</v>
      </c>
      <c r="C99" s="49" t="s">
        <v>338</v>
      </c>
      <c r="D99" s="6" t="s">
        <v>69</v>
      </c>
      <c r="E99" s="50" t="s">
        <v>72</v>
      </c>
      <c r="F99" s="51" t="s">
        <v>87</v>
      </c>
      <c r="G99" s="9"/>
      <c r="H99" s="9">
        <v>4193</v>
      </c>
      <c r="I99" s="9" t="s">
        <v>74</v>
      </c>
      <c r="J99" s="9">
        <v>55</v>
      </c>
      <c r="K99" s="10" t="s">
        <v>96</v>
      </c>
      <c r="L99" s="13" t="s">
        <v>97</v>
      </c>
      <c r="M99" s="53" t="s">
        <v>339</v>
      </c>
      <c r="N99" s="9" t="s">
        <v>340</v>
      </c>
      <c r="O99" s="70"/>
      <c r="P99" s="13"/>
      <c r="Q99" s="10"/>
      <c r="R99" s="10"/>
      <c r="S99" s="10"/>
      <c r="T99" s="13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 t="s">
        <v>100</v>
      </c>
      <c r="AL99" s="10"/>
      <c r="AM99" s="9" t="s">
        <v>341</v>
      </c>
      <c r="AN99" s="10" t="s">
        <v>282</v>
      </c>
      <c r="AO99" s="72">
        <v>46280</v>
      </c>
      <c r="AP99" s="72">
        <v>46280</v>
      </c>
      <c r="AQ99" s="10">
        <v>137</v>
      </c>
      <c r="AR99" s="10" t="s">
        <v>103</v>
      </c>
      <c r="AS99" s="2" t="s">
        <v>342</v>
      </c>
      <c r="AT99" s="10"/>
      <c r="AU99" s="10"/>
      <c r="AV99" s="10"/>
      <c r="AW99" s="10"/>
      <c r="AX99" s="10"/>
      <c r="AY99" s="10" t="s">
        <v>105</v>
      </c>
      <c r="AZ99" s="10"/>
      <c r="BA99" s="10"/>
      <c r="BB99" s="10"/>
      <c r="BC99" s="10"/>
      <c r="BD99" s="10"/>
      <c r="BE99" s="10"/>
    </row>
    <row r="100" spans="1:57" x14ac:dyDescent="0.25">
      <c r="A100" s="9">
        <v>94</v>
      </c>
      <c r="B100" s="48" t="s">
        <v>233</v>
      </c>
      <c r="C100" s="49" t="s">
        <v>343</v>
      </c>
      <c r="D100" s="6" t="s">
        <v>69</v>
      </c>
      <c r="E100" s="50" t="s">
        <v>72</v>
      </c>
      <c r="F100" s="51" t="s">
        <v>87</v>
      </c>
      <c r="G100" s="9"/>
      <c r="H100" s="9">
        <v>4193</v>
      </c>
      <c r="I100" s="9" t="s">
        <v>74</v>
      </c>
      <c r="J100" s="9">
        <v>118</v>
      </c>
      <c r="K100" s="10" t="s">
        <v>96</v>
      </c>
      <c r="L100" s="13" t="s">
        <v>97</v>
      </c>
      <c r="M100" s="53" t="s">
        <v>239</v>
      </c>
      <c r="N100" s="9" t="s">
        <v>344</v>
      </c>
      <c r="O100" s="70"/>
      <c r="P100" s="13"/>
      <c r="Q100" s="10"/>
      <c r="R100" s="10"/>
      <c r="S100" s="10"/>
      <c r="T100" s="13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 t="s">
        <v>100</v>
      </c>
      <c r="AL100" s="10"/>
      <c r="AM100" s="9" t="s">
        <v>345</v>
      </c>
      <c r="AN100" s="10" t="s">
        <v>282</v>
      </c>
      <c r="AO100" s="72">
        <v>46280</v>
      </c>
      <c r="AP100" s="72">
        <v>46281</v>
      </c>
      <c r="AQ100" s="10">
        <f>47+41</f>
        <v>88</v>
      </c>
      <c r="AR100" s="10" t="s">
        <v>103</v>
      </c>
      <c r="AS100" s="2" t="s">
        <v>346</v>
      </c>
      <c r="AT100" s="10"/>
      <c r="AU100" s="10"/>
      <c r="AV100" s="10"/>
      <c r="AW100" s="10"/>
      <c r="AX100" s="10"/>
      <c r="AY100" s="10" t="s">
        <v>105</v>
      </c>
      <c r="AZ100" s="10"/>
      <c r="BA100" s="10"/>
      <c r="BB100" s="10"/>
      <c r="BC100" s="10"/>
      <c r="BD100" s="10"/>
      <c r="BE100" s="10"/>
    </row>
    <row r="101" spans="1:57" x14ac:dyDescent="0.25">
      <c r="A101" s="9">
        <v>95</v>
      </c>
      <c r="B101" s="48" t="s">
        <v>233</v>
      </c>
      <c r="C101" s="49" t="s">
        <v>347</v>
      </c>
      <c r="D101" s="6" t="s">
        <v>69</v>
      </c>
      <c r="E101" s="50" t="s">
        <v>72</v>
      </c>
      <c r="F101" s="51" t="s">
        <v>87</v>
      </c>
      <c r="G101" s="9"/>
      <c r="H101" s="9" t="s">
        <v>292</v>
      </c>
      <c r="I101" s="9" t="s">
        <v>74</v>
      </c>
      <c r="J101" s="9">
        <v>69</v>
      </c>
      <c r="K101" s="10" t="s">
        <v>96</v>
      </c>
      <c r="L101" s="13" t="s">
        <v>97</v>
      </c>
      <c r="M101" s="53" t="s">
        <v>339</v>
      </c>
      <c r="N101" s="9" t="s">
        <v>348</v>
      </c>
      <c r="O101" s="70"/>
      <c r="P101" s="13"/>
      <c r="Q101" s="10"/>
      <c r="R101" s="10"/>
      <c r="S101" s="10"/>
      <c r="T101" s="13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 t="s">
        <v>100</v>
      </c>
      <c r="AL101" s="10"/>
      <c r="AM101" s="9" t="s">
        <v>349</v>
      </c>
      <c r="AN101" s="10" t="s">
        <v>282</v>
      </c>
      <c r="AO101" s="72">
        <v>46281</v>
      </c>
      <c r="AP101" s="72">
        <v>46281</v>
      </c>
      <c r="AQ101" s="10">
        <v>131</v>
      </c>
      <c r="AR101" s="10" t="s">
        <v>103</v>
      </c>
      <c r="AS101" s="2" t="s">
        <v>350</v>
      </c>
      <c r="AT101" s="10"/>
      <c r="AU101" s="10"/>
      <c r="AV101" s="10"/>
      <c r="AW101" s="10"/>
      <c r="AX101" s="10"/>
      <c r="AY101" s="10" t="s">
        <v>105</v>
      </c>
      <c r="AZ101" s="10"/>
      <c r="BA101" s="10"/>
      <c r="BB101" s="10"/>
      <c r="BC101" s="10"/>
      <c r="BD101" s="10"/>
      <c r="BE101" s="10"/>
    </row>
    <row r="102" spans="1:57" x14ac:dyDescent="0.25">
      <c r="A102" s="9">
        <v>96</v>
      </c>
      <c r="B102" s="48" t="s">
        <v>233</v>
      </c>
      <c r="C102" s="49" t="s">
        <v>351</v>
      </c>
      <c r="D102" s="6" t="s">
        <v>69</v>
      </c>
      <c r="E102" s="50" t="s">
        <v>72</v>
      </c>
      <c r="F102" s="51" t="s">
        <v>87</v>
      </c>
      <c r="G102" s="9"/>
      <c r="H102" s="9" t="s">
        <v>88</v>
      </c>
      <c r="I102" s="9" t="s">
        <v>151</v>
      </c>
      <c r="J102" s="10">
        <v>1</v>
      </c>
      <c r="K102" s="10" t="s">
        <v>89</v>
      </c>
      <c r="L102" s="13" t="s">
        <v>76</v>
      </c>
      <c r="M102" s="53" t="s">
        <v>129</v>
      </c>
      <c r="N102" s="9" t="s">
        <v>352</v>
      </c>
      <c r="O102" s="70"/>
      <c r="P102" s="13"/>
      <c r="Q102" s="10"/>
      <c r="R102" s="10"/>
      <c r="S102" s="10"/>
      <c r="T102" s="13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72"/>
      <c r="AP102" s="72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</row>
    <row r="103" spans="1:57" x14ac:dyDescent="0.25">
      <c r="A103" s="9">
        <v>97</v>
      </c>
      <c r="B103" s="48" t="s">
        <v>233</v>
      </c>
      <c r="C103" s="49" t="s">
        <v>353</v>
      </c>
      <c r="D103" s="6" t="s">
        <v>69</v>
      </c>
      <c r="E103" s="50" t="s">
        <v>72</v>
      </c>
      <c r="F103" s="51" t="s">
        <v>87</v>
      </c>
      <c r="G103" s="9"/>
      <c r="H103" s="9" t="s">
        <v>292</v>
      </c>
      <c r="I103" s="9" t="s">
        <v>74</v>
      </c>
      <c r="J103" s="9">
        <v>27</v>
      </c>
      <c r="K103" s="10" t="s">
        <v>96</v>
      </c>
      <c r="L103" s="13" t="s">
        <v>97</v>
      </c>
      <c r="M103" s="53" t="s">
        <v>243</v>
      </c>
      <c r="N103" s="9" t="s">
        <v>354</v>
      </c>
      <c r="O103" s="70"/>
      <c r="P103" s="13"/>
      <c r="Q103" s="10"/>
      <c r="R103" s="10"/>
      <c r="S103" s="10"/>
      <c r="T103" s="13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 t="s">
        <v>100</v>
      </c>
      <c r="AL103" s="10"/>
      <c r="AM103" s="9" t="s">
        <v>355</v>
      </c>
      <c r="AN103" s="10" t="s">
        <v>282</v>
      </c>
      <c r="AO103" s="72">
        <v>46281</v>
      </c>
      <c r="AP103" s="72">
        <v>46281</v>
      </c>
      <c r="AQ103" s="10">
        <v>42</v>
      </c>
      <c r="AR103" s="10" t="s">
        <v>103</v>
      </c>
      <c r="AS103" s="2" t="s">
        <v>356</v>
      </c>
      <c r="AT103" s="10"/>
      <c r="AU103" s="10"/>
      <c r="AV103" s="10"/>
      <c r="AW103" s="10"/>
      <c r="AX103" s="10"/>
      <c r="AY103" s="10" t="s">
        <v>105</v>
      </c>
      <c r="AZ103" s="10"/>
      <c r="BA103" s="10"/>
      <c r="BB103" s="10"/>
      <c r="BC103" s="10"/>
      <c r="BD103" s="10"/>
      <c r="BE103" s="10"/>
    </row>
    <row r="104" spans="1:57" s="47" customFormat="1" x14ac:dyDescent="0.25">
      <c r="A104" s="41">
        <v>98</v>
      </c>
      <c r="B104" s="42" t="s">
        <v>233</v>
      </c>
      <c r="C104" s="43" t="s">
        <v>357</v>
      </c>
      <c r="D104" s="44" t="s">
        <v>69</v>
      </c>
      <c r="E104" s="45" t="s">
        <v>70</v>
      </c>
      <c r="F104" s="44" t="s">
        <v>70</v>
      </c>
      <c r="G104" s="44" t="s">
        <v>70</v>
      </c>
      <c r="H104" s="44" t="s">
        <v>70</v>
      </c>
      <c r="I104" s="44" t="s">
        <v>70</v>
      </c>
      <c r="J104" s="44" t="s">
        <v>70</v>
      </c>
      <c r="K104" s="44" t="s">
        <v>70</v>
      </c>
      <c r="L104" s="44" t="s">
        <v>70</v>
      </c>
      <c r="M104" s="45" t="s">
        <v>70</v>
      </c>
      <c r="N104" s="44" t="s">
        <v>70</v>
      </c>
      <c r="O104" s="67"/>
      <c r="P104" s="46"/>
      <c r="Q104" s="41"/>
      <c r="R104" s="41"/>
      <c r="S104" s="41"/>
      <c r="T104" s="46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72"/>
      <c r="AP104" s="72"/>
      <c r="AQ104" s="41"/>
      <c r="AR104" s="41"/>
      <c r="AS104" s="41"/>
      <c r="AT104" s="41"/>
      <c r="AU104" s="41"/>
      <c r="AV104" s="41"/>
      <c r="AW104" s="41"/>
      <c r="AX104" s="41"/>
      <c r="AY104" s="10"/>
      <c r="AZ104" s="41"/>
      <c r="BA104" s="41"/>
      <c r="BB104" s="41"/>
      <c r="BC104" s="41"/>
      <c r="BD104" s="41"/>
      <c r="BE104" s="41"/>
    </row>
    <row r="105" spans="1:57" s="47" customFormat="1" x14ac:dyDescent="0.25">
      <c r="A105" s="41">
        <v>99</v>
      </c>
      <c r="B105" s="42" t="s">
        <v>233</v>
      </c>
      <c r="C105" s="43" t="s">
        <v>358</v>
      </c>
      <c r="D105" s="44" t="s">
        <v>69</v>
      </c>
      <c r="E105" s="45" t="s">
        <v>70</v>
      </c>
      <c r="F105" s="44" t="s">
        <v>70</v>
      </c>
      <c r="G105" s="44" t="s">
        <v>70</v>
      </c>
      <c r="H105" s="44" t="s">
        <v>70</v>
      </c>
      <c r="I105" s="44" t="s">
        <v>70</v>
      </c>
      <c r="J105" s="44" t="s">
        <v>70</v>
      </c>
      <c r="K105" s="44" t="s">
        <v>70</v>
      </c>
      <c r="L105" s="44" t="s">
        <v>70</v>
      </c>
      <c r="M105" s="45" t="s">
        <v>70</v>
      </c>
      <c r="N105" s="44" t="s">
        <v>70</v>
      </c>
      <c r="O105" s="67"/>
      <c r="P105" s="46"/>
      <c r="Q105" s="41"/>
      <c r="R105" s="41"/>
      <c r="S105" s="41"/>
      <c r="T105" s="46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72"/>
      <c r="AP105" s="72"/>
      <c r="AQ105" s="41"/>
      <c r="AR105" s="41"/>
      <c r="AS105" s="41"/>
      <c r="AT105" s="41"/>
      <c r="AU105" s="41"/>
      <c r="AV105" s="41"/>
      <c r="AW105" s="41"/>
      <c r="AX105" s="41"/>
      <c r="AY105" s="10"/>
      <c r="AZ105" s="41"/>
      <c r="BA105" s="41"/>
      <c r="BB105" s="41"/>
      <c r="BC105" s="41"/>
      <c r="BD105" s="41"/>
      <c r="BE105" s="41"/>
    </row>
    <row r="106" spans="1:57" x14ac:dyDescent="0.25">
      <c r="A106" s="9">
        <v>100</v>
      </c>
      <c r="B106" s="48" t="s">
        <v>233</v>
      </c>
      <c r="C106" s="49" t="s">
        <v>359</v>
      </c>
      <c r="D106" s="6" t="s">
        <v>69</v>
      </c>
      <c r="E106" s="50" t="s">
        <v>72</v>
      </c>
      <c r="F106" s="51" t="s">
        <v>87</v>
      </c>
      <c r="G106" s="9"/>
      <c r="H106" s="9" t="s">
        <v>116</v>
      </c>
      <c r="I106" s="9" t="s">
        <v>117</v>
      </c>
      <c r="J106" s="10">
        <v>1</v>
      </c>
      <c r="K106" s="10" t="s">
        <v>89</v>
      </c>
      <c r="L106" s="13" t="s">
        <v>76</v>
      </c>
      <c r="M106" s="53" t="s">
        <v>193</v>
      </c>
      <c r="N106" s="9" t="s">
        <v>360</v>
      </c>
      <c r="O106" s="70"/>
      <c r="P106" s="13"/>
      <c r="Q106" s="10"/>
      <c r="R106" s="10"/>
      <c r="S106" s="10"/>
      <c r="T106" s="13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72"/>
      <c r="AP106" s="72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</row>
    <row r="107" spans="1:57" x14ac:dyDescent="0.25">
      <c r="A107" s="9">
        <v>101</v>
      </c>
      <c r="B107" s="48" t="s">
        <v>233</v>
      </c>
      <c r="C107" s="69" t="s">
        <v>361</v>
      </c>
      <c r="D107" s="6" t="s">
        <v>69</v>
      </c>
      <c r="E107" s="50" t="s">
        <v>72</v>
      </c>
      <c r="F107" s="51" t="s">
        <v>87</v>
      </c>
      <c r="G107" s="9"/>
      <c r="H107" s="9" t="s">
        <v>88</v>
      </c>
      <c r="I107" s="9" t="s">
        <v>151</v>
      </c>
      <c r="J107" s="10">
        <v>72</v>
      </c>
      <c r="K107" s="11" t="s">
        <v>89</v>
      </c>
      <c r="L107" s="12" t="s">
        <v>76</v>
      </c>
      <c r="M107" s="53" t="s">
        <v>193</v>
      </c>
      <c r="N107" s="9" t="s">
        <v>362</v>
      </c>
      <c r="O107" s="70"/>
      <c r="P107" s="13"/>
      <c r="Q107" s="10"/>
      <c r="R107" s="10"/>
      <c r="S107" s="10"/>
      <c r="T107" s="13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 t="s">
        <v>241</v>
      </c>
      <c r="AM107" s="10"/>
      <c r="AN107" s="10"/>
      <c r="AO107" s="72"/>
      <c r="AP107" s="72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</row>
    <row r="108" spans="1:57" x14ac:dyDescent="0.25">
      <c r="A108" s="9">
        <v>102</v>
      </c>
      <c r="B108" s="48" t="s">
        <v>233</v>
      </c>
      <c r="C108" s="49" t="s">
        <v>363</v>
      </c>
      <c r="D108" s="6" t="s">
        <v>69</v>
      </c>
      <c r="E108" s="50" t="s">
        <v>72</v>
      </c>
      <c r="F108" s="51" t="s">
        <v>87</v>
      </c>
      <c r="G108" s="9"/>
      <c r="H108" s="9" t="s">
        <v>88</v>
      </c>
      <c r="I108" s="9" t="s">
        <v>151</v>
      </c>
      <c r="J108" s="10">
        <v>20</v>
      </c>
      <c r="K108" s="10" t="s">
        <v>89</v>
      </c>
      <c r="L108" s="13" t="s">
        <v>76</v>
      </c>
      <c r="M108" s="53" t="s">
        <v>129</v>
      </c>
      <c r="N108" s="9" t="s">
        <v>364</v>
      </c>
      <c r="O108" s="70"/>
      <c r="P108" s="13"/>
      <c r="Q108" s="10"/>
      <c r="R108" s="10"/>
      <c r="S108" s="10"/>
      <c r="T108" s="13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72"/>
      <c r="AP108" s="72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</row>
    <row r="109" spans="1:57" x14ac:dyDescent="0.25">
      <c r="A109" s="9">
        <v>103</v>
      </c>
      <c r="B109" s="48" t="s">
        <v>233</v>
      </c>
      <c r="C109" s="69" t="s">
        <v>365</v>
      </c>
      <c r="D109" s="6" t="s">
        <v>69</v>
      </c>
      <c r="E109" s="50" t="s">
        <v>72</v>
      </c>
      <c r="F109" s="51" t="s">
        <v>87</v>
      </c>
      <c r="G109" s="9"/>
      <c r="H109" s="9">
        <v>4193</v>
      </c>
      <c r="I109" s="9">
        <v>9953391</v>
      </c>
      <c r="J109" s="10">
        <v>1</v>
      </c>
      <c r="K109" s="11" t="s">
        <v>89</v>
      </c>
      <c r="L109" s="12" t="s">
        <v>76</v>
      </c>
      <c r="M109" s="53" t="s">
        <v>167</v>
      </c>
      <c r="N109" s="9" t="s">
        <v>366</v>
      </c>
      <c r="O109" s="70"/>
      <c r="P109" s="13"/>
      <c r="Q109" s="10"/>
      <c r="R109" s="10"/>
      <c r="S109" s="10"/>
      <c r="T109" s="13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 t="s">
        <v>241</v>
      </c>
      <c r="AM109" s="10"/>
      <c r="AN109" s="10"/>
      <c r="AO109" s="72"/>
      <c r="AP109" s="72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</row>
    <row r="110" spans="1:57" x14ac:dyDescent="0.25">
      <c r="A110" s="9">
        <v>104</v>
      </c>
      <c r="B110" s="48" t="s">
        <v>233</v>
      </c>
      <c r="C110" s="69" t="s">
        <v>367</v>
      </c>
      <c r="D110" s="6" t="s">
        <v>69</v>
      </c>
      <c r="E110" s="50" t="s">
        <v>72</v>
      </c>
      <c r="F110" s="51" t="s">
        <v>87</v>
      </c>
      <c r="G110" s="9"/>
      <c r="H110" s="9">
        <v>4193</v>
      </c>
      <c r="I110" s="9">
        <v>9953391</v>
      </c>
      <c r="J110" s="9">
        <v>1</v>
      </c>
      <c r="K110" s="11" t="s">
        <v>89</v>
      </c>
      <c r="L110" s="12" t="s">
        <v>76</v>
      </c>
      <c r="M110" s="53" t="s">
        <v>167</v>
      </c>
      <c r="N110" s="9" t="s">
        <v>368</v>
      </c>
      <c r="O110" s="70"/>
      <c r="P110" s="13"/>
      <c r="Q110" s="10"/>
      <c r="R110" s="10"/>
      <c r="S110" s="10"/>
      <c r="T110" s="13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 t="s">
        <v>241</v>
      </c>
      <c r="AM110" s="10"/>
      <c r="AN110" s="10"/>
      <c r="AO110" s="72"/>
      <c r="AP110" s="72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</row>
    <row r="111" spans="1:57" x14ac:dyDescent="0.25">
      <c r="A111" s="9">
        <v>105</v>
      </c>
      <c r="B111" s="48" t="s">
        <v>233</v>
      </c>
      <c r="C111" s="49" t="s">
        <v>369</v>
      </c>
      <c r="D111" s="6" t="s">
        <v>69</v>
      </c>
      <c r="E111" s="50" t="s">
        <v>72</v>
      </c>
      <c r="F111" s="51" t="s">
        <v>87</v>
      </c>
      <c r="G111" s="9"/>
      <c r="H111" s="9">
        <v>4193</v>
      </c>
      <c r="I111" s="9" t="s">
        <v>74</v>
      </c>
      <c r="J111" s="9">
        <v>13</v>
      </c>
      <c r="K111" s="10" t="s">
        <v>89</v>
      </c>
      <c r="L111" s="13" t="s">
        <v>76</v>
      </c>
      <c r="M111" s="53" t="s">
        <v>313</v>
      </c>
      <c r="N111" s="3" t="s">
        <v>314</v>
      </c>
      <c r="O111" s="70"/>
      <c r="P111" s="13"/>
      <c r="Q111" s="10"/>
      <c r="R111" s="10"/>
      <c r="S111" s="10"/>
      <c r="T111" s="13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72"/>
      <c r="AP111" s="72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</row>
    <row r="112" spans="1:57" x14ac:dyDescent="0.25">
      <c r="A112" s="9">
        <v>106</v>
      </c>
      <c r="B112" s="48" t="s">
        <v>370</v>
      </c>
      <c r="C112" s="49" t="s">
        <v>371</v>
      </c>
      <c r="D112" s="6" t="s">
        <v>69</v>
      </c>
      <c r="E112" s="50" t="s">
        <v>72</v>
      </c>
      <c r="F112" s="51" t="s">
        <v>87</v>
      </c>
      <c r="G112" s="9"/>
      <c r="H112" s="9" t="s">
        <v>116</v>
      </c>
      <c r="I112" s="9" t="s">
        <v>74</v>
      </c>
      <c r="J112" s="9">
        <v>146</v>
      </c>
      <c r="K112" s="10" t="s">
        <v>96</v>
      </c>
      <c r="L112" s="13" t="s">
        <v>97</v>
      </c>
      <c r="M112" s="53" t="s">
        <v>196</v>
      </c>
      <c r="N112" s="9" t="s">
        <v>372</v>
      </c>
      <c r="O112" s="70"/>
      <c r="P112" s="13"/>
      <c r="Q112" s="10"/>
      <c r="R112" s="10"/>
      <c r="S112" s="10"/>
      <c r="T112" s="13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 t="s">
        <v>100</v>
      </c>
      <c r="AL112" s="10"/>
      <c r="AM112" s="9" t="s">
        <v>373</v>
      </c>
      <c r="AN112" s="10" t="s">
        <v>329</v>
      </c>
      <c r="AO112" s="72">
        <v>46282</v>
      </c>
      <c r="AP112" s="72">
        <v>46282</v>
      </c>
      <c r="AQ112" s="10">
        <v>477</v>
      </c>
      <c r="AR112" s="10" t="s">
        <v>103</v>
      </c>
      <c r="AS112" s="10"/>
      <c r="AT112" s="10"/>
      <c r="AU112" s="10"/>
      <c r="AV112" s="10"/>
      <c r="AW112" s="10"/>
      <c r="AX112" s="10"/>
      <c r="AY112" s="10" t="s">
        <v>181</v>
      </c>
      <c r="AZ112" s="10"/>
      <c r="BA112" s="10"/>
      <c r="BB112" s="10"/>
      <c r="BC112" s="10"/>
      <c r="BD112" s="10"/>
      <c r="BE112" s="10"/>
    </row>
    <row r="113" spans="1:57" x14ac:dyDescent="0.25">
      <c r="A113" s="9">
        <v>107</v>
      </c>
      <c r="B113" s="48" t="s">
        <v>370</v>
      </c>
      <c r="C113" s="49" t="s">
        <v>374</v>
      </c>
      <c r="D113" s="6" t="s">
        <v>69</v>
      </c>
      <c r="E113" s="50" t="s">
        <v>72</v>
      </c>
      <c r="F113" s="51" t="s">
        <v>87</v>
      </c>
      <c r="G113" s="9"/>
      <c r="H113" s="9" t="s">
        <v>74</v>
      </c>
      <c r="I113" s="9">
        <v>9953391</v>
      </c>
      <c r="J113" s="9">
        <v>39</v>
      </c>
      <c r="K113" s="10" t="s">
        <v>96</v>
      </c>
      <c r="L113" s="13" t="s">
        <v>97</v>
      </c>
      <c r="M113" s="53" t="s">
        <v>196</v>
      </c>
      <c r="N113" s="9" t="s">
        <v>372</v>
      </c>
      <c r="O113" s="70"/>
      <c r="P113" s="13"/>
      <c r="Q113" s="10"/>
      <c r="R113" s="10"/>
      <c r="S113" s="10"/>
      <c r="T113" s="13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 t="s">
        <v>100</v>
      </c>
      <c r="AL113" s="10"/>
      <c r="AM113" s="9" t="s">
        <v>375</v>
      </c>
      <c r="AN113" s="10" t="s">
        <v>330</v>
      </c>
      <c r="AO113" s="72">
        <v>46280</v>
      </c>
      <c r="AP113" s="72">
        <v>46281</v>
      </c>
      <c r="AQ113" s="10">
        <v>226</v>
      </c>
      <c r="AR113" s="10" t="s">
        <v>103</v>
      </c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</row>
    <row r="114" spans="1:57" x14ac:dyDescent="0.25">
      <c r="A114" s="9">
        <v>108</v>
      </c>
      <c r="B114" s="48" t="s">
        <v>376</v>
      </c>
      <c r="C114" s="49" t="s">
        <v>377</v>
      </c>
      <c r="D114" s="6" t="s">
        <v>69</v>
      </c>
      <c r="E114" s="50" t="s">
        <v>72</v>
      </c>
      <c r="F114" s="51" t="s">
        <v>87</v>
      </c>
      <c r="G114" s="9"/>
      <c r="H114" s="9" t="s">
        <v>292</v>
      </c>
      <c r="I114" s="9" t="s">
        <v>74</v>
      </c>
      <c r="J114" s="9">
        <v>8</v>
      </c>
      <c r="K114" s="10" t="s">
        <v>96</v>
      </c>
      <c r="L114" s="13" t="s">
        <v>97</v>
      </c>
      <c r="M114" s="70" t="s">
        <v>378</v>
      </c>
      <c r="N114" s="9" t="s">
        <v>379</v>
      </c>
      <c r="O114" s="70"/>
      <c r="P114" s="13"/>
      <c r="Q114" s="10"/>
      <c r="R114" s="10"/>
      <c r="S114" s="10"/>
      <c r="T114" s="13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 t="s">
        <v>100</v>
      </c>
      <c r="AL114" s="10"/>
      <c r="AM114" s="9" t="s">
        <v>380</v>
      </c>
      <c r="AN114" s="10" t="s">
        <v>282</v>
      </c>
      <c r="AO114" s="72"/>
      <c r="AP114" s="72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</row>
    <row r="115" spans="1:57" x14ac:dyDescent="0.25">
      <c r="A115" s="9">
        <v>109</v>
      </c>
      <c r="B115" s="48" t="s">
        <v>376</v>
      </c>
      <c r="C115" s="49" t="s">
        <v>381</v>
      </c>
      <c r="D115" s="6" t="s">
        <v>69</v>
      </c>
      <c r="E115" s="50" t="s">
        <v>72</v>
      </c>
      <c r="F115" s="51" t="s">
        <v>87</v>
      </c>
      <c r="G115" s="9"/>
      <c r="H115" s="9" t="s">
        <v>292</v>
      </c>
      <c r="I115" s="9" t="s">
        <v>74</v>
      </c>
      <c r="J115" s="9">
        <v>62</v>
      </c>
      <c r="K115" s="10" t="s">
        <v>96</v>
      </c>
      <c r="L115" s="13" t="s">
        <v>97</v>
      </c>
      <c r="M115" s="70" t="s">
        <v>378</v>
      </c>
      <c r="N115" s="9" t="s">
        <v>382</v>
      </c>
      <c r="O115" s="70"/>
      <c r="P115" s="13"/>
      <c r="Q115" s="10"/>
      <c r="R115" s="10"/>
      <c r="S115" s="10"/>
      <c r="T115" s="13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 t="s">
        <v>100</v>
      </c>
      <c r="AL115" s="10"/>
      <c r="AM115" s="9" t="s">
        <v>383</v>
      </c>
      <c r="AN115" s="10" t="s">
        <v>282</v>
      </c>
      <c r="AO115" s="72">
        <v>46282</v>
      </c>
      <c r="AP115" s="72">
        <v>46282</v>
      </c>
      <c r="AQ115" s="10">
        <v>27</v>
      </c>
      <c r="AR115" s="10" t="s">
        <v>103</v>
      </c>
      <c r="AS115" s="2" t="s">
        <v>384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</row>
    <row r="116" spans="1:57" x14ac:dyDescent="0.25">
      <c r="A116" s="9">
        <v>110</v>
      </c>
      <c r="B116" s="48" t="s">
        <v>376</v>
      </c>
      <c r="C116" s="49" t="s">
        <v>385</v>
      </c>
      <c r="D116" s="6" t="s">
        <v>69</v>
      </c>
      <c r="E116" s="50" t="s">
        <v>72</v>
      </c>
      <c r="F116" s="51" t="s">
        <v>87</v>
      </c>
      <c r="G116" s="9"/>
      <c r="H116" s="9" t="s">
        <v>292</v>
      </c>
      <c r="I116" s="9" t="s">
        <v>74</v>
      </c>
      <c r="J116" s="9">
        <v>18</v>
      </c>
      <c r="K116" s="10" t="s">
        <v>96</v>
      </c>
      <c r="L116" s="13" t="s">
        <v>97</v>
      </c>
      <c r="M116" s="70" t="s">
        <v>378</v>
      </c>
      <c r="N116" s="9" t="s">
        <v>382</v>
      </c>
      <c r="O116" s="70"/>
      <c r="P116" s="13"/>
      <c r="Q116" s="10"/>
      <c r="R116" s="10"/>
      <c r="S116" s="10"/>
      <c r="T116" s="13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 t="s">
        <v>100</v>
      </c>
      <c r="AL116" s="10"/>
      <c r="AM116" s="9" t="s">
        <v>386</v>
      </c>
      <c r="AN116" s="10" t="s">
        <v>282</v>
      </c>
      <c r="AO116" s="72">
        <v>46282</v>
      </c>
      <c r="AP116" s="72">
        <v>46282</v>
      </c>
      <c r="AQ116" s="10">
        <v>15</v>
      </c>
      <c r="AR116" s="10" t="s">
        <v>103</v>
      </c>
      <c r="AS116" s="2" t="s">
        <v>387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</row>
    <row r="117" spans="1:57" x14ac:dyDescent="0.25">
      <c r="A117" s="9">
        <v>111</v>
      </c>
      <c r="B117" s="48" t="s">
        <v>388</v>
      </c>
      <c r="C117" s="49" t="s">
        <v>389</v>
      </c>
      <c r="D117" s="6" t="s">
        <v>69</v>
      </c>
      <c r="E117" s="50" t="s">
        <v>72</v>
      </c>
      <c r="F117" s="51" t="s">
        <v>87</v>
      </c>
      <c r="G117" s="9"/>
      <c r="H117" s="9" t="s">
        <v>88</v>
      </c>
      <c r="I117" s="9" t="s">
        <v>74</v>
      </c>
      <c r="J117" s="9">
        <v>140</v>
      </c>
      <c r="K117" s="10" t="s">
        <v>96</v>
      </c>
      <c r="L117" s="13" t="s">
        <v>97</v>
      </c>
      <c r="M117" s="70" t="s">
        <v>390</v>
      </c>
      <c r="N117" s="9" t="s">
        <v>391</v>
      </c>
      <c r="O117" s="70"/>
      <c r="P117" s="13"/>
      <c r="Q117" s="10"/>
      <c r="R117" s="10"/>
      <c r="S117" s="10"/>
      <c r="T117" s="13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 t="s">
        <v>100</v>
      </c>
      <c r="AL117" s="10"/>
      <c r="AM117" s="9" t="s">
        <v>392</v>
      </c>
      <c r="AN117" s="10" t="s">
        <v>316</v>
      </c>
      <c r="AO117" s="72">
        <v>46282</v>
      </c>
      <c r="AP117" s="72"/>
      <c r="AQ117" s="10">
        <v>416</v>
      </c>
      <c r="AR117" s="10" t="s">
        <v>393</v>
      </c>
      <c r="AS117" s="10"/>
      <c r="AT117" s="10"/>
      <c r="AU117" s="10"/>
      <c r="AV117" s="10"/>
      <c r="AW117" s="10"/>
      <c r="AX117" s="10"/>
      <c r="AY117" s="10" t="s">
        <v>318</v>
      </c>
      <c r="AZ117" s="10"/>
      <c r="BA117" s="10"/>
      <c r="BB117" s="10"/>
      <c r="BC117" s="10"/>
      <c r="BD117" s="10"/>
      <c r="BE117" s="10"/>
    </row>
    <row r="118" spans="1:57" x14ac:dyDescent="0.25">
      <c r="A118" s="9">
        <v>112</v>
      </c>
      <c r="B118" s="48" t="s">
        <v>388</v>
      </c>
      <c r="C118" s="49" t="s">
        <v>394</v>
      </c>
      <c r="D118" s="6" t="s">
        <v>69</v>
      </c>
      <c r="E118" s="50" t="s">
        <v>72</v>
      </c>
      <c r="F118" s="51" t="s">
        <v>87</v>
      </c>
      <c r="G118" s="9"/>
      <c r="H118" s="9" t="s">
        <v>74</v>
      </c>
      <c r="I118" s="9" t="s">
        <v>74</v>
      </c>
      <c r="J118" s="9">
        <v>66</v>
      </c>
      <c r="K118" s="10" t="s">
        <v>96</v>
      </c>
      <c r="L118" s="13" t="s">
        <v>97</v>
      </c>
      <c r="M118" s="70" t="s">
        <v>390</v>
      </c>
      <c r="N118" s="9" t="s">
        <v>391</v>
      </c>
      <c r="O118" s="70"/>
      <c r="P118" s="13"/>
      <c r="Q118" s="10"/>
      <c r="R118" s="10"/>
      <c r="S118" s="10"/>
      <c r="T118" s="13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 t="s">
        <v>100</v>
      </c>
      <c r="AL118" s="10"/>
      <c r="AM118" s="9" t="s">
        <v>395</v>
      </c>
      <c r="AN118" s="10" t="s">
        <v>316</v>
      </c>
      <c r="AO118" s="72"/>
      <c r="AP118" s="72"/>
      <c r="AQ118" s="10"/>
      <c r="AR118" s="10"/>
      <c r="AS118" s="10"/>
      <c r="AT118" s="10"/>
      <c r="AU118" s="10"/>
      <c r="AV118" s="10"/>
      <c r="AW118" s="10"/>
      <c r="AX118" s="10"/>
      <c r="AY118" s="10" t="s">
        <v>318</v>
      </c>
      <c r="AZ118" s="10"/>
      <c r="BA118" s="10"/>
      <c r="BB118" s="10"/>
      <c r="BC118" s="10"/>
      <c r="BD118" s="10"/>
      <c r="BE118" s="10"/>
    </row>
    <row r="119" spans="1:57" s="47" customFormat="1" x14ac:dyDescent="0.25">
      <c r="A119" s="41">
        <v>113</v>
      </c>
      <c r="B119" s="42" t="s">
        <v>396</v>
      </c>
      <c r="C119" s="43" t="s">
        <v>397</v>
      </c>
      <c r="D119" s="44" t="s">
        <v>69</v>
      </c>
      <c r="E119" s="45" t="s">
        <v>70</v>
      </c>
      <c r="F119" s="44" t="s">
        <v>70</v>
      </c>
      <c r="G119" s="44" t="s">
        <v>70</v>
      </c>
      <c r="H119" s="44" t="s">
        <v>70</v>
      </c>
      <c r="I119" s="44" t="s">
        <v>70</v>
      </c>
      <c r="J119" s="44" t="s">
        <v>70</v>
      </c>
      <c r="K119" s="44" t="s">
        <v>70</v>
      </c>
      <c r="L119" s="44" t="s">
        <v>70</v>
      </c>
      <c r="M119" s="45" t="s">
        <v>70</v>
      </c>
      <c r="N119" s="44" t="s">
        <v>70</v>
      </c>
      <c r="O119" s="67"/>
      <c r="P119" s="46"/>
      <c r="Q119" s="41"/>
      <c r="R119" s="41"/>
      <c r="S119" s="41"/>
      <c r="T119" s="46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72"/>
      <c r="AP119" s="72"/>
      <c r="AQ119" s="41"/>
      <c r="AR119" s="41"/>
      <c r="AS119" s="41"/>
      <c r="AT119" s="41"/>
      <c r="AU119" s="41"/>
      <c r="AV119" s="41"/>
      <c r="AW119" s="41"/>
      <c r="AX119" s="41"/>
      <c r="AY119" s="10"/>
      <c r="AZ119" s="41"/>
      <c r="BA119" s="41"/>
      <c r="BB119" s="41"/>
      <c r="BC119" s="41"/>
      <c r="BD119" s="41"/>
      <c r="BE119" s="41"/>
    </row>
    <row r="120" spans="1:57" x14ac:dyDescent="0.25">
      <c r="A120" s="9">
        <v>114</v>
      </c>
      <c r="B120" s="48" t="s">
        <v>396</v>
      </c>
      <c r="C120" s="49" t="s">
        <v>398</v>
      </c>
      <c r="D120" s="6" t="s">
        <v>69</v>
      </c>
      <c r="E120" s="50" t="s">
        <v>72</v>
      </c>
      <c r="F120" s="51" t="s">
        <v>87</v>
      </c>
      <c r="G120" s="9"/>
      <c r="H120" s="9" t="s">
        <v>88</v>
      </c>
      <c r="I120" s="9" t="s">
        <v>151</v>
      </c>
      <c r="J120" s="10">
        <v>8</v>
      </c>
      <c r="K120" s="10" t="s">
        <v>96</v>
      </c>
      <c r="L120" s="13" t="s">
        <v>97</v>
      </c>
      <c r="M120" s="53" t="s">
        <v>167</v>
      </c>
      <c r="N120" s="9" t="s">
        <v>399</v>
      </c>
      <c r="O120" s="70"/>
      <c r="P120" s="13"/>
      <c r="Q120" s="10"/>
      <c r="R120" s="10"/>
      <c r="S120" s="10"/>
      <c r="T120" s="13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 t="s">
        <v>100</v>
      </c>
      <c r="AL120" s="10"/>
      <c r="AM120" s="9">
        <v>7</v>
      </c>
      <c r="AN120" s="10" t="s">
        <v>175</v>
      </c>
      <c r="AO120" s="72">
        <v>46283</v>
      </c>
      <c r="AP120" s="72">
        <v>46283</v>
      </c>
      <c r="AQ120" s="10">
        <v>7</v>
      </c>
      <c r="AR120" s="10" t="s">
        <v>103</v>
      </c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</row>
    <row r="121" spans="1:57" x14ac:dyDescent="0.25">
      <c r="A121" s="9">
        <v>115</v>
      </c>
      <c r="B121" s="48" t="s">
        <v>396</v>
      </c>
      <c r="C121" s="49" t="s">
        <v>400</v>
      </c>
      <c r="D121" s="6" t="s">
        <v>69</v>
      </c>
      <c r="E121" s="50" t="s">
        <v>72</v>
      </c>
      <c r="F121" s="51" t="s">
        <v>87</v>
      </c>
      <c r="G121" s="9"/>
      <c r="H121" s="9" t="s">
        <v>88</v>
      </c>
      <c r="I121" s="9" t="s">
        <v>151</v>
      </c>
      <c r="J121" s="10">
        <v>96</v>
      </c>
      <c r="K121" s="10" t="s">
        <v>96</v>
      </c>
      <c r="L121" s="13" t="s">
        <v>97</v>
      </c>
      <c r="M121" s="53" t="s">
        <v>167</v>
      </c>
      <c r="N121" s="9" t="s">
        <v>401</v>
      </c>
      <c r="O121" s="70"/>
      <c r="P121" s="13"/>
      <c r="Q121" s="10"/>
      <c r="R121" s="10"/>
      <c r="S121" s="10"/>
      <c r="T121" s="13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 t="s">
        <v>100</v>
      </c>
      <c r="AL121" s="10"/>
      <c r="AM121" s="9" t="s">
        <v>402</v>
      </c>
      <c r="AN121" s="10" t="s">
        <v>165</v>
      </c>
      <c r="AO121" s="72">
        <v>46281</v>
      </c>
      <c r="AP121" s="72">
        <v>46282</v>
      </c>
      <c r="AQ121" s="10">
        <f>404+146</f>
        <v>550</v>
      </c>
      <c r="AR121" s="10" t="s">
        <v>103</v>
      </c>
      <c r="AS121" s="10"/>
      <c r="AT121" s="10"/>
      <c r="AU121" s="10"/>
      <c r="AV121" s="10"/>
      <c r="AW121" s="10"/>
      <c r="AX121" s="10"/>
      <c r="AY121" s="10" t="s">
        <v>105</v>
      </c>
      <c r="AZ121" s="10"/>
      <c r="BA121" s="10"/>
      <c r="BB121" s="10"/>
      <c r="BC121" s="10"/>
      <c r="BD121" s="10"/>
      <c r="BE121" s="10"/>
    </row>
    <row r="122" spans="1:57" x14ac:dyDescent="0.25">
      <c r="A122" s="9">
        <v>117</v>
      </c>
      <c r="B122" s="48" t="s">
        <v>396</v>
      </c>
      <c r="C122" s="69" t="s">
        <v>403</v>
      </c>
      <c r="D122" s="6" t="s">
        <v>69</v>
      </c>
      <c r="E122" s="50" t="s">
        <v>72</v>
      </c>
      <c r="F122" s="51" t="s">
        <v>87</v>
      </c>
      <c r="G122" s="9"/>
      <c r="H122" s="9" t="s">
        <v>88</v>
      </c>
      <c r="I122" s="9" t="s">
        <v>151</v>
      </c>
      <c r="J122" s="10">
        <v>21</v>
      </c>
      <c r="K122" s="11" t="s">
        <v>89</v>
      </c>
      <c r="L122" s="12" t="s">
        <v>76</v>
      </c>
      <c r="M122" s="53" t="s">
        <v>167</v>
      </c>
      <c r="N122" s="9" t="s">
        <v>404</v>
      </c>
      <c r="O122" s="70"/>
      <c r="P122" s="13"/>
      <c r="Q122" s="10"/>
      <c r="R122" s="10"/>
      <c r="S122" s="10"/>
      <c r="T122" s="13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 t="s">
        <v>241</v>
      </c>
      <c r="AM122" s="10"/>
      <c r="AN122" s="10"/>
      <c r="AO122" s="72"/>
      <c r="AP122" s="72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</row>
    <row r="123" spans="1:57" x14ac:dyDescent="0.25">
      <c r="A123" s="9">
        <v>118</v>
      </c>
      <c r="B123" s="48" t="s">
        <v>396</v>
      </c>
      <c r="C123" s="69" t="s">
        <v>405</v>
      </c>
      <c r="D123" s="6" t="s">
        <v>69</v>
      </c>
      <c r="E123" s="50" t="s">
        <v>72</v>
      </c>
      <c r="F123" s="51" t="s">
        <v>87</v>
      </c>
      <c r="G123" s="9"/>
      <c r="H123" s="9" t="s">
        <v>88</v>
      </c>
      <c r="I123" s="9" t="s">
        <v>151</v>
      </c>
      <c r="J123" s="10">
        <v>8</v>
      </c>
      <c r="K123" s="11" t="s">
        <v>89</v>
      </c>
      <c r="L123" s="12" t="s">
        <v>76</v>
      </c>
      <c r="M123" s="53" t="s">
        <v>167</v>
      </c>
      <c r="N123" s="9" t="s">
        <v>406</v>
      </c>
      <c r="O123" s="70"/>
      <c r="P123" s="13"/>
      <c r="Q123" s="10"/>
      <c r="R123" s="10"/>
      <c r="S123" s="10"/>
      <c r="T123" s="13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 t="s">
        <v>241</v>
      </c>
      <c r="AM123" s="10"/>
      <c r="AN123" s="10"/>
      <c r="AO123" s="72"/>
      <c r="AP123" s="72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</row>
    <row r="124" spans="1:57" x14ac:dyDescent="0.25">
      <c r="A124" s="9">
        <v>119</v>
      </c>
      <c r="B124" s="48" t="s">
        <v>396</v>
      </c>
      <c r="C124" s="69" t="s">
        <v>407</v>
      </c>
      <c r="D124" s="6" t="s">
        <v>69</v>
      </c>
      <c r="E124" s="50" t="s">
        <v>72</v>
      </c>
      <c r="F124" s="51" t="s">
        <v>87</v>
      </c>
      <c r="G124" s="9"/>
      <c r="H124" s="9" t="s">
        <v>88</v>
      </c>
      <c r="I124" s="9" t="s">
        <v>151</v>
      </c>
      <c r="J124" s="10">
        <v>48</v>
      </c>
      <c r="K124" s="11" t="s">
        <v>89</v>
      </c>
      <c r="L124" s="12" t="s">
        <v>76</v>
      </c>
      <c r="M124" s="53" t="s">
        <v>167</v>
      </c>
      <c r="N124" s="9" t="s">
        <v>408</v>
      </c>
      <c r="O124" s="70"/>
      <c r="P124" s="13"/>
      <c r="Q124" s="10"/>
      <c r="R124" s="10"/>
      <c r="S124" s="10"/>
      <c r="T124" s="13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 t="s">
        <v>241</v>
      </c>
      <c r="AM124" s="10"/>
      <c r="AN124" s="10"/>
      <c r="AO124" s="72"/>
      <c r="AP124" s="72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</row>
    <row r="125" spans="1:57" x14ac:dyDescent="0.25">
      <c r="A125" s="9">
        <v>120</v>
      </c>
      <c r="B125" s="48" t="s">
        <v>396</v>
      </c>
      <c r="C125" s="69" t="s">
        <v>409</v>
      </c>
      <c r="D125" s="6" t="s">
        <v>69</v>
      </c>
      <c r="E125" s="50" t="s">
        <v>72</v>
      </c>
      <c r="F125" s="51" t="s">
        <v>87</v>
      </c>
      <c r="G125" s="9"/>
      <c r="H125" s="9" t="s">
        <v>88</v>
      </c>
      <c r="I125" s="9" t="s">
        <v>151</v>
      </c>
      <c r="J125" s="10">
        <v>36</v>
      </c>
      <c r="K125" s="11" t="s">
        <v>89</v>
      </c>
      <c r="L125" s="12" t="s">
        <v>76</v>
      </c>
      <c r="M125" s="53" t="s">
        <v>167</v>
      </c>
      <c r="N125" s="9" t="s">
        <v>410</v>
      </c>
      <c r="O125" s="70"/>
      <c r="P125" s="13"/>
      <c r="Q125" s="10"/>
      <c r="R125" s="10"/>
      <c r="S125" s="10"/>
      <c r="T125" s="13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 t="s">
        <v>241</v>
      </c>
      <c r="AM125" s="10"/>
      <c r="AN125" s="10"/>
      <c r="AO125" s="72"/>
      <c r="AP125" s="72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</row>
    <row r="126" spans="1:57" x14ac:dyDescent="0.25">
      <c r="A126" s="9">
        <v>121</v>
      </c>
      <c r="B126" s="48" t="s">
        <v>396</v>
      </c>
      <c r="C126" s="69" t="s">
        <v>411</v>
      </c>
      <c r="D126" s="6" t="s">
        <v>69</v>
      </c>
      <c r="E126" s="50" t="s">
        <v>72</v>
      </c>
      <c r="F126" s="51" t="s">
        <v>87</v>
      </c>
      <c r="G126" s="9"/>
      <c r="H126" s="9" t="s">
        <v>412</v>
      </c>
      <c r="I126" s="9" t="s">
        <v>413</v>
      </c>
      <c r="J126" s="10">
        <v>1</v>
      </c>
      <c r="K126" s="11" t="s">
        <v>89</v>
      </c>
      <c r="L126" s="12" t="s">
        <v>76</v>
      </c>
      <c r="M126" s="53" t="s">
        <v>167</v>
      </c>
      <c r="N126" s="9" t="s">
        <v>414</v>
      </c>
      <c r="O126" s="70"/>
      <c r="P126" s="13"/>
      <c r="Q126" s="10"/>
      <c r="R126" s="10"/>
      <c r="S126" s="10"/>
      <c r="T126" s="13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 t="s">
        <v>241</v>
      </c>
      <c r="AM126" s="10"/>
      <c r="AN126" s="10"/>
      <c r="AO126" s="72"/>
      <c r="AP126" s="72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</row>
    <row r="127" spans="1:57" x14ac:dyDescent="0.25">
      <c r="A127" s="9">
        <v>122</v>
      </c>
      <c r="B127" s="48" t="s">
        <v>396</v>
      </c>
      <c r="C127" s="69" t="s">
        <v>415</v>
      </c>
      <c r="D127" s="6" t="s">
        <v>69</v>
      </c>
      <c r="E127" s="50" t="s">
        <v>72</v>
      </c>
      <c r="F127" s="51" t="s">
        <v>87</v>
      </c>
      <c r="G127" s="9"/>
      <c r="H127" s="9" t="s">
        <v>88</v>
      </c>
      <c r="I127" s="9" t="s">
        <v>151</v>
      </c>
      <c r="J127" s="10">
        <v>1</v>
      </c>
      <c r="K127" s="11" t="s">
        <v>89</v>
      </c>
      <c r="L127" s="12" t="s">
        <v>76</v>
      </c>
      <c r="M127" s="53" t="s">
        <v>167</v>
      </c>
      <c r="N127" s="9" t="s">
        <v>416</v>
      </c>
      <c r="O127" s="70"/>
      <c r="P127" s="13"/>
      <c r="Q127" s="10"/>
      <c r="R127" s="10"/>
      <c r="S127" s="10"/>
      <c r="T127" s="13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 t="s">
        <v>241</v>
      </c>
      <c r="AM127" s="10"/>
      <c r="AN127" s="10"/>
      <c r="AO127" s="72"/>
      <c r="AP127" s="72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</row>
    <row r="128" spans="1:57" x14ac:dyDescent="0.25">
      <c r="A128" s="9">
        <v>123</v>
      </c>
      <c r="B128" s="48" t="s">
        <v>396</v>
      </c>
      <c r="C128" s="49" t="s">
        <v>417</v>
      </c>
      <c r="D128" s="6" t="s">
        <v>69</v>
      </c>
      <c r="E128" s="50" t="s">
        <v>72</v>
      </c>
      <c r="F128" s="51" t="s">
        <v>87</v>
      </c>
      <c r="G128" s="9"/>
      <c r="H128" s="9">
        <v>4193</v>
      </c>
      <c r="I128" s="9" t="s">
        <v>74</v>
      </c>
      <c r="J128" s="9">
        <v>90</v>
      </c>
      <c r="K128" s="9" t="s">
        <v>96</v>
      </c>
      <c r="L128" s="14" t="s">
        <v>97</v>
      </c>
      <c r="M128" s="53" t="s">
        <v>167</v>
      </c>
      <c r="N128" s="9" t="s">
        <v>418</v>
      </c>
      <c r="O128" s="70"/>
      <c r="P128" s="13"/>
      <c r="Q128" s="10"/>
      <c r="R128" s="10"/>
      <c r="S128" s="10"/>
      <c r="T128" s="13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 t="s">
        <v>100</v>
      </c>
      <c r="AL128" s="10"/>
      <c r="AM128" s="9" t="s">
        <v>419</v>
      </c>
      <c r="AN128" s="10"/>
      <c r="AO128" s="72"/>
      <c r="AP128" s="72"/>
      <c r="AQ128" s="10"/>
      <c r="AR128" s="10"/>
      <c r="AS128" s="10"/>
      <c r="AT128" s="10"/>
      <c r="AU128" s="10"/>
      <c r="AV128" s="10"/>
      <c r="AW128" s="10"/>
      <c r="AX128" s="10"/>
      <c r="AY128" s="10" t="s">
        <v>330</v>
      </c>
      <c r="AZ128" s="10"/>
      <c r="BA128" s="10"/>
      <c r="BB128" s="10"/>
      <c r="BC128" s="10"/>
      <c r="BD128" s="10"/>
      <c r="BE128" s="10"/>
    </row>
    <row r="129" spans="1:57" x14ac:dyDescent="0.25">
      <c r="A129" s="9">
        <v>124</v>
      </c>
      <c r="B129" s="48" t="s">
        <v>396</v>
      </c>
      <c r="C129" s="49" t="s">
        <v>420</v>
      </c>
      <c r="D129" s="6" t="s">
        <v>69</v>
      </c>
      <c r="E129" s="50" t="s">
        <v>72</v>
      </c>
      <c r="F129" s="51" t="s">
        <v>87</v>
      </c>
      <c r="G129" s="9"/>
      <c r="H129" s="9" t="s">
        <v>88</v>
      </c>
      <c r="I129" s="9" t="s">
        <v>151</v>
      </c>
      <c r="J129" s="10">
        <v>8</v>
      </c>
      <c r="K129" s="10" t="s">
        <v>89</v>
      </c>
      <c r="L129" s="13" t="s">
        <v>76</v>
      </c>
      <c r="M129" s="53" t="s">
        <v>421</v>
      </c>
      <c r="N129" s="9" t="s">
        <v>422</v>
      </c>
      <c r="O129" s="70"/>
      <c r="P129" s="13"/>
      <c r="Q129" s="10"/>
      <c r="R129" s="10"/>
      <c r="S129" s="10"/>
      <c r="T129" s="13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72"/>
      <c r="AP129" s="72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</row>
    <row r="130" spans="1:57" x14ac:dyDescent="0.25">
      <c r="A130" s="9">
        <v>125</v>
      </c>
      <c r="B130" s="48" t="s">
        <v>396</v>
      </c>
      <c r="C130" s="49" t="s">
        <v>423</v>
      </c>
      <c r="D130" s="6" t="s">
        <v>69</v>
      </c>
      <c r="E130" s="50" t="s">
        <v>72</v>
      </c>
      <c r="F130" s="51" t="s">
        <v>87</v>
      </c>
      <c r="G130" s="9"/>
      <c r="H130" s="9" t="s">
        <v>88</v>
      </c>
      <c r="I130" s="9" t="s">
        <v>74</v>
      </c>
      <c r="J130" s="9">
        <v>340</v>
      </c>
      <c r="K130" s="9" t="s">
        <v>96</v>
      </c>
      <c r="L130" s="14" t="s">
        <v>97</v>
      </c>
      <c r="M130" s="53" t="s">
        <v>326</v>
      </c>
      <c r="N130" s="9" t="s">
        <v>424</v>
      </c>
      <c r="O130" s="70"/>
      <c r="P130" s="13"/>
      <c r="Q130" s="10"/>
      <c r="R130" s="10"/>
      <c r="S130" s="10"/>
      <c r="T130" s="13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 t="s">
        <v>100</v>
      </c>
      <c r="AL130" s="10"/>
      <c r="AM130" s="9" t="s">
        <v>425</v>
      </c>
      <c r="AN130" s="10" t="s">
        <v>329</v>
      </c>
      <c r="AO130" s="72">
        <v>46280</v>
      </c>
      <c r="AP130" s="72">
        <v>46281</v>
      </c>
      <c r="AQ130" s="10">
        <v>232</v>
      </c>
      <c r="AR130" s="10" t="s">
        <v>103</v>
      </c>
      <c r="AS130" s="10"/>
      <c r="AT130" s="10"/>
      <c r="AU130" s="10"/>
      <c r="AV130" s="10"/>
      <c r="AW130" s="10"/>
      <c r="AX130" s="10"/>
      <c r="AY130" s="10" t="s">
        <v>330</v>
      </c>
      <c r="AZ130" s="10"/>
      <c r="BA130" s="10"/>
      <c r="BB130" s="10"/>
      <c r="BC130" s="10"/>
      <c r="BD130" s="10"/>
      <c r="BE130" s="10"/>
    </row>
    <row r="131" spans="1:57" x14ac:dyDescent="0.25">
      <c r="A131" s="9">
        <v>126</v>
      </c>
      <c r="B131" s="48" t="s">
        <v>396</v>
      </c>
      <c r="C131" s="49" t="s">
        <v>426</v>
      </c>
      <c r="D131" s="6" t="s">
        <v>69</v>
      </c>
      <c r="E131" s="50" t="s">
        <v>72</v>
      </c>
      <c r="F131" s="51" t="s">
        <v>87</v>
      </c>
      <c r="G131" s="9"/>
      <c r="H131" s="9" t="s">
        <v>427</v>
      </c>
      <c r="I131" s="9" t="s">
        <v>74</v>
      </c>
      <c r="J131" s="9">
        <v>468</v>
      </c>
      <c r="K131" s="9" t="s">
        <v>96</v>
      </c>
      <c r="L131" s="14" t="s">
        <v>97</v>
      </c>
      <c r="M131" s="53" t="s">
        <v>390</v>
      </c>
      <c r="N131" s="9" t="s">
        <v>428</v>
      </c>
      <c r="O131" s="70"/>
      <c r="P131" s="13"/>
      <c r="Q131" s="10"/>
      <c r="R131" s="10"/>
      <c r="S131" s="10"/>
      <c r="T131" s="13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9" t="s">
        <v>100</v>
      </c>
      <c r="AL131" s="10"/>
      <c r="AM131" s="9" t="s">
        <v>429</v>
      </c>
      <c r="AN131" s="10" t="s">
        <v>316</v>
      </c>
      <c r="AO131" s="72">
        <v>46282</v>
      </c>
      <c r="AP131" s="72"/>
      <c r="AQ131" s="10">
        <v>501</v>
      </c>
      <c r="AR131" s="10" t="s">
        <v>393</v>
      </c>
      <c r="AS131" s="10"/>
      <c r="AT131" s="10"/>
      <c r="AU131" s="10"/>
      <c r="AV131" s="10"/>
      <c r="AW131" s="10"/>
      <c r="AX131" s="10"/>
      <c r="AY131" s="10" t="s">
        <v>318</v>
      </c>
      <c r="AZ131" s="10"/>
      <c r="BA131" s="10"/>
      <c r="BB131" s="10"/>
      <c r="BC131" s="10"/>
      <c r="BD131" s="10"/>
      <c r="BE131" s="10"/>
    </row>
    <row r="132" spans="1:57" x14ac:dyDescent="0.25">
      <c r="A132" s="9">
        <v>127</v>
      </c>
      <c r="B132" s="48" t="s">
        <v>396</v>
      </c>
      <c r="C132" s="49" t="s">
        <v>430</v>
      </c>
      <c r="D132" s="6" t="s">
        <v>69</v>
      </c>
      <c r="E132" s="50" t="s">
        <v>72</v>
      </c>
      <c r="F132" s="51" t="s">
        <v>87</v>
      </c>
      <c r="G132" s="9"/>
      <c r="H132" s="9">
        <v>4193</v>
      </c>
      <c r="I132" s="9" t="s">
        <v>74</v>
      </c>
      <c r="J132" s="9">
        <v>89</v>
      </c>
      <c r="K132" s="9" t="s">
        <v>96</v>
      </c>
      <c r="L132" s="14" t="s">
        <v>97</v>
      </c>
      <c r="M132" s="53" t="s">
        <v>129</v>
      </c>
      <c r="N132" s="9" t="s">
        <v>431</v>
      </c>
      <c r="O132" s="70"/>
      <c r="P132" s="13"/>
      <c r="Q132" s="10"/>
      <c r="R132" s="10"/>
      <c r="S132" s="10"/>
      <c r="T132" s="13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 t="s">
        <v>100</v>
      </c>
      <c r="AL132" s="10"/>
      <c r="AM132" s="9" t="s">
        <v>432</v>
      </c>
      <c r="AN132" s="10" t="s">
        <v>175</v>
      </c>
      <c r="AO132" s="72">
        <v>46283</v>
      </c>
      <c r="AP132" s="72">
        <v>46283</v>
      </c>
      <c r="AQ132" s="10">
        <v>46</v>
      </c>
      <c r="AR132" s="10" t="s">
        <v>103</v>
      </c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</row>
    <row r="133" spans="1:57" x14ac:dyDescent="0.25">
      <c r="A133" s="9">
        <v>116</v>
      </c>
      <c r="B133" s="48" t="s">
        <v>396</v>
      </c>
      <c r="C133" s="49" t="s">
        <v>433</v>
      </c>
      <c r="D133" s="6" t="s">
        <v>69</v>
      </c>
      <c r="E133" s="50" t="s">
        <v>72</v>
      </c>
      <c r="F133" s="51" t="s">
        <v>87</v>
      </c>
      <c r="G133" s="9"/>
      <c r="H133" s="9" t="s">
        <v>88</v>
      </c>
      <c r="I133" s="9" t="s">
        <v>151</v>
      </c>
      <c r="J133" s="10">
        <v>1</v>
      </c>
      <c r="K133" s="10" t="s">
        <v>89</v>
      </c>
      <c r="L133" s="13" t="s">
        <v>76</v>
      </c>
      <c r="M133" s="53" t="s">
        <v>167</v>
      </c>
      <c r="N133" s="9" t="s">
        <v>434</v>
      </c>
      <c r="O133" s="70"/>
      <c r="P133" s="13"/>
      <c r="Q133" s="10"/>
      <c r="R133" s="10"/>
      <c r="S133" s="10"/>
      <c r="T133" s="13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72"/>
      <c r="AP133" s="72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</row>
    <row r="134" spans="1:57" x14ac:dyDescent="0.25">
      <c r="A134" s="9">
        <v>128</v>
      </c>
      <c r="B134" s="48" t="s">
        <v>396</v>
      </c>
      <c r="C134" s="49" t="s">
        <v>435</v>
      </c>
      <c r="D134" s="6" t="s">
        <v>69</v>
      </c>
      <c r="E134" s="50" t="s">
        <v>72</v>
      </c>
      <c r="F134" s="51" t="s">
        <v>87</v>
      </c>
      <c r="G134" s="9"/>
      <c r="H134" s="9" t="s">
        <v>88</v>
      </c>
      <c r="I134" s="9" t="s">
        <v>74</v>
      </c>
      <c r="J134" s="9">
        <v>36</v>
      </c>
      <c r="K134" s="9" t="s">
        <v>96</v>
      </c>
      <c r="L134" s="14" t="s">
        <v>97</v>
      </c>
      <c r="M134" s="53" t="s">
        <v>436</v>
      </c>
      <c r="N134" s="3" t="s">
        <v>437</v>
      </c>
      <c r="O134" s="70"/>
      <c r="P134" s="13"/>
      <c r="Q134" s="10"/>
      <c r="R134" s="10"/>
      <c r="S134" s="10"/>
      <c r="T134" s="13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 t="s">
        <v>100</v>
      </c>
      <c r="AL134" s="10"/>
      <c r="AM134" s="9" t="s">
        <v>438</v>
      </c>
      <c r="AN134" s="10"/>
      <c r="AO134" s="72"/>
      <c r="AP134" s="72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</row>
    <row r="135" spans="1:57" x14ac:dyDescent="0.25">
      <c r="A135" s="9">
        <v>129</v>
      </c>
      <c r="B135" s="48" t="s">
        <v>396</v>
      </c>
      <c r="C135" s="49" t="s">
        <v>439</v>
      </c>
      <c r="D135" s="6" t="s">
        <v>69</v>
      </c>
      <c r="E135" s="50" t="s">
        <v>72</v>
      </c>
      <c r="F135" s="51" t="s">
        <v>87</v>
      </c>
      <c r="G135" s="9"/>
      <c r="H135" s="9">
        <v>4193</v>
      </c>
      <c r="I135" s="9" t="s">
        <v>74</v>
      </c>
      <c r="J135" s="9">
        <v>55</v>
      </c>
      <c r="K135" s="9" t="s">
        <v>96</v>
      </c>
      <c r="L135" s="14" t="s">
        <v>97</v>
      </c>
      <c r="M135" s="53" t="s">
        <v>440</v>
      </c>
      <c r="N135" s="9" t="s">
        <v>441</v>
      </c>
      <c r="O135" s="70"/>
      <c r="P135" s="13"/>
      <c r="Q135" s="10"/>
      <c r="R135" s="10"/>
      <c r="S135" s="10"/>
      <c r="T135" s="13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 t="s">
        <v>100</v>
      </c>
      <c r="AL135" s="10"/>
      <c r="AM135" s="9" t="s">
        <v>442</v>
      </c>
      <c r="AN135" s="10" t="s">
        <v>329</v>
      </c>
      <c r="AO135" s="72">
        <v>46280</v>
      </c>
      <c r="AP135" s="72">
        <v>46280</v>
      </c>
      <c r="AQ135" s="10">
        <v>122</v>
      </c>
      <c r="AR135" s="10" t="s">
        <v>103</v>
      </c>
      <c r="AS135" s="10"/>
      <c r="AT135" s="10"/>
      <c r="AU135" s="10"/>
      <c r="AV135" s="10"/>
      <c r="AW135" s="10"/>
      <c r="AX135" s="10"/>
      <c r="AY135" s="10" t="s">
        <v>330</v>
      </c>
      <c r="AZ135" s="10"/>
      <c r="BA135" s="10"/>
      <c r="BB135" s="10"/>
      <c r="BC135" s="10"/>
      <c r="BD135" s="10"/>
      <c r="BE135" s="10"/>
    </row>
    <row r="136" spans="1:57" x14ac:dyDescent="0.25">
      <c r="A136" s="9">
        <v>130</v>
      </c>
      <c r="B136" s="48" t="s">
        <v>396</v>
      </c>
      <c r="C136" s="49" t="s">
        <v>443</v>
      </c>
      <c r="D136" s="6" t="s">
        <v>69</v>
      </c>
      <c r="E136" s="50" t="s">
        <v>72</v>
      </c>
      <c r="F136" s="51" t="s">
        <v>87</v>
      </c>
      <c r="G136" s="9"/>
      <c r="H136" s="9" t="s">
        <v>444</v>
      </c>
      <c r="I136" s="9" t="s">
        <v>74</v>
      </c>
      <c r="J136" s="9">
        <v>286</v>
      </c>
      <c r="K136" s="9" t="s">
        <v>96</v>
      </c>
      <c r="L136" s="14" t="s">
        <v>97</v>
      </c>
      <c r="M136" s="53" t="s">
        <v>445</v>
      </c>
      <c r="N136" s="3" t="s">
        <v>446</v>
      </c>
      <c r="O136" s="70"/>
      <c r="P136" s="13"/>
      <c r="Q136" s="10"/>
      <c r="R136" s="10"/>
      <c r="S136" s="10"/>
      <c r="T136" s="13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 t="s">
        <v>100</v>
      </c>
      <c r="AL136" s="10"/>
      <c r="AM136" s="9" t="s">
        <v>447</v>
      </c>
      <c r="AN136" s="10" t="s">
        <v>296</v>
      </c>
      <c r="AO136" s="72">
        <v>46280</v>
      </c>
      <c r="AP136" s="72">
        <v>46280</v>
      </c>
      <c r="AQ136" s="10">
        <v>496</v>
      </c>
      <c r="AR136" s="10" t="s">
        <v>103</v>
      </c>
      <c r="AS136" s="2" t="s">
        <v>448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</row>
    <row r="137" spans="1:57" x14ac:dyDescent="0.25">
      <c r="A137" s="9">
        <v>131</v>
      </c>
      <c r="B137" s="48" t="s">
        <v>396</v>
      </c>
      <c r="C137" s="49" t="s">
        <v>449</v>
      </c>
      <c r="D137" s="6" t="s">
        <v>69</v>
      </c>
      <c r="E137" s="50" t="s">
        <v>72</v>
      </c>
      <c r="F137" s="51" t="s">
        <v>87</v>
      </c>
      <c r="G137" s="9"/>
      <c r="H137" s="9" t="s">
        <v>292</v>
      </c>
      <c r="I137" s="9" t="s">
        <v>74</v>
      </c>
      <c r="J137" s="9">
        <v>64</v>
      </c>
      <c r="K137" s="9" t="s">
        <v>96</v>
      </c>
      <c r="L137" s="14" t="s">
        <v>97</v>
      </c>
      <c r="M137" s="53" t="s">
        <v>450</v>
      </c>
      <c r="N137" s="3" t="s">
        <v>451</v>
      </c>
      <c r="O137" s="70"/>
      <c r="P137" s="13"/>
      <c r="Q137" s="10"/>
      <c r="R137" s="10"/>
      <c r="S137" s="10"/>
      <c r="T137" s="13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 t="s">
        <v>100</v>
      </c>
      <c r="AL137" s="10"/>
      <c r="AM137" s="9" t="s">
        <v>452</v>
      </c>
      <c r="AN137" s="10" t="s">
        <v>175</v>
      </c>
      <c r="AO137" s="72">
        <v>46283</v>
      </c>
      <c r="AP137" s="72">
        <v>46283</v>
      </c>
      <c r="AQ137" s="10">
        <v>78</v>
      </c>
      <c r="AR137" s="10" t="s">
        <v>103</v>
      </c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</row>
    <row r="138" spans="1:57" x14ac:dyDescent="0.25">
      <c r="A138" s="9">
        <v>132</v>
      </c>
      <c r="B138" s="48" t="s">
        <v>396</v>
      </c>
      <c r="C138" s="49" t="s">
        <v>453</v>
      </c>
      <c r="D138" s="6" t="s">
        <v>69</v>
      </c>
      <c r="E138" s="50" t="s">
        <v>72</v>
      </c>
      <c r="F138" s="51" t="s">
        <v>87</v>
      </c>
      <c r="G138" s="9"/>
      <c r="H138" s="9" t="s">
        <v>292</v>
      </c>
      <c r="I138" s="9" t="s">
        <v>74</v>
      </c>
      <c r="J138" s="9">
        <v>35</v>
      </c>
      <c r="K138" s="9" t="s">
        <v>96</v>
      </c>
      <c r="L138" s="14" t="s">
        <v>97</v>
      </c>
      <c r="M138" s="53" t="s">
        <v>450</v>
      </c>
      <c r="N138" s="3" t="s">
        <v>454</v>
      </c>
      <c r="O138" s="70"/>
      <c r="P138" s="13"/>
      <c r="Q138" s="10"/>
      <c r="R138" s="10"/>
      <c r="S138" s="10"/>
      <c r="T138" s="13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 t="s">
        <v>100</v>
      </c>
      <c r="AL138" s="10"/>
      <c r="AM138" s="9" t="s">
        <v>455</v>
      </c>
      <c r="AN138" s="10" t="s">
        <v>175</v>
      </c>
      <c r="AO138" s="72"/>
      <c r="AP138" s="72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</row>
    <row r="139" spans="1:57" x14ac:dyDescent="0.25">
      <c r="A139" s="9">
        <v>133</v>
      </c>
      <c r="B139" s="48" t="s">
        <v>396</v>
      </c>
      <c r="C139" s="49" t="s">
        <v>456</v>
      </c>
      <c r="D139" s="6" t="s">
        <v>69</v>
      </c>
      <c r="E139" s="50" t="s">
        <v>72</v>
      </c>
      <c r="F139" s="51" t="s">
        <v>87</v>
      </c>
      <c r="G139" s="9"/>
      <c r="H139" s="9" t="s">
        <v>292</v>
      </c>
      <c r="I139" s="9" t="s">
        <v>74</v>
      </c>
      <c r="J139" s="9">
        <v>221</v>
      </c>
      <c r="K139" s="9" t="s">
        <v>96</v>
      </c>
      <c r="L139" s="14" t="s">
        <v>97</v>
      </c>
      <c r="M139" s="53" t="s">
        <v>457</v>
      </c>
      <c r="N139" s="9" t="s">
        <v>458</v>
      </c>
      <c r="O139" s="70"/>
      <c r="P139" s="13"/>
      <c r="Q139" s="10"/>
      <c r="R139" s="10"/>
      <c r="S139" s="10"/>
      <c r="T139" s="13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 t="s">
        <v>100</v>
      </c>
      <c r="AL139" s="10"/>
      <c r="AM139" s="9" t="s">
        <v>459</v>
      </c>
      <c r="AN139" s="10" t="s">
        <v>175</v>
      </c>
      <c r="AO139" s="72">
        <v>46282</v>
      </c>
      <c r="AP139" s="72"/>
      <c r="AQ139" s="10">
        <v>119</v>
      </c>
      <c r="AR139" s="10" t="s">
        <v>393</v>
      </c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</row>
    <row r="140" spans="1:57" x14ac:dyDescent="0.25">
      <c r="A140" s="9">
        <v>134</v>
      </c>
      <c r="B140" s="48" t="s">
        <v>396</v>
      </c>
      <c r="C140" s="49" t="s">
        <v>460</v>
      </c>
      <c r="D140" s="6" t="s">
        <v>69</v>
      </c>
      <c r="E140" s="50" t="s">
        <v>72</v>
      </c>
      <c r="F140" s="51" t="s">
        <v>87</v>
      </c>
      <c r="G140" s="9"/>
      <c r="H140" s="9" t="s">
        <v>427</v>
      </c>
      <c r="I140" s="9" t="s">
        <v>74</v>
      </c>
      <c r="J140" s="9">
        <v>25</v>
      </c>
      <c r="K140" s="9" t="s">
        <v>96</v>
      </c>
      <c r="L140" s="14" t="s">
        <v>97</v>
      </c>
      <c r="M140" s="53" t="s">
        <v>457</v>
      </c>
      <c r="N140" s="9" t="s">
        <v>461</v>
      </c>
      <c r="O140" s="70"/>
      <c r="P140" s="13"/>
      <c r="Q140" s="10"/>
      <c r="R140" s="10"/>
      <c r="S140" s="10"/>
      <c r="T140" s="13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 t="s">
        <v>100</v>
      </c>
      <c r="AL140" s="10"/>
      <c r="AM140" s="9" t="s">
        <v>462</v>
      </c>
      <c r="AN140" s="10" t="s">
        <v>175</v>
      </c>
      <c r="AO140" s="72">
        <v>46282</v>
      </c>
      <c r="AP140" s="72">
        <v>46282</v>
      </c>
      <c r="AQ140" s="10">
        <v>25</v>
      </c>
      <c r="AR140" s="10" t="s">
        <v>103</v>
      </c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</row>
    <row r="141" spans="1:57" x14ac:dyDescent="0.25">
      <c r="A141" s="9">
        <v>135</v>
      </c>
      <c r="B141" s="48" t="s">
        <v>396</v>
      </c>
      <c r="C141" s="49" t="s">
        <v>463</v>
      </c>
      <c r="D141" s="6" t="s">
        <v>69</v>
      </c>
      <c r="E141" s="50" t="s">
        <v>72</v>
      </c>
      <c r="F141" s="51" t="s">
        <v>87</v>
      </c>
      <c r="G141" s="9"/>
      <c r="H141" s="9" t="s">
        <v>88</v>
      </c>
      <c r="I141" s="9" t="s">
        <v>151</v>
      </c>
      <c r="J141" s="10">
        <v>8</v>
      </c>
      <c r="K141" s="10" t="s">
        <v>89</v>
      </c>
      <c r="L141" s="13" t="s">
        <v>76</v>
      </c>
      <c r="M141" s="53" t="s">
        <v>167</v>
      </c>
      <c r="N141" s="9" t="s">
        <v>464</v>
      </c>
      <c r="O141" s="70"/>
      <c r="P141" s="13"/>
      <c r="Q141" s="10"/>
      <c r="R141" s="10"/>
      <c r="S141" s="10"/>
      <c r="T141" s="13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72"/>
      <c r="AP141" s="72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</row>
    <row r="142" spans="1:57" x14ac:dyDescent="0.25">
      <c r="A142" s="9">
        <v>136</v>
      </c>
      <c r="B142" s="48" t="s">
        <v>396</v>
      </c>
      <c r="C142" s="49" t="s">
        <v>465</v>
      </c>
      <c r="D142" s="6" t="s">
        <v>69</v>
      </c>
      <c r="E142" s="50" t="s">
        <v>72</v>
      </c>
      <c r="F142" s="51" t="s">
        <v>87</v>
      </c>
      <c r="G142" s="9"/>
      <c r="H142" s="9" t="s">
        <v>88</v>
      </c>
      <c r="I142" s="9" t="s">
        <v>151</v>
      </c>
      <c r="J142" s="10">
        <v>17</v>
      </c>
      <c r="K142" s="10" t="s">
        <v>96</v>
      </c>
      <c r="L142" s="13" t="s">
        <v>97</v>
      </c>
      <c r="M142" s="53" t="s">
        <v>167</v>
      </c>
      <c r="N142" s="9" t="s">
        <v>466</v>
      </c>
      <c r="O142" s="70"/>
      <c r="P142" s="13"/>
      <c r="Q142" s="10"/>
      <c r="R142" s="10"/>
      <c r="S142" s="10"/>
      <c r="T142" s="13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 t="s">
        <v>100</v>
      </c>
      <c r="AL142" s="10"/>
      <c r="AM142" s="9" t="s">
        <v>467</v>
      </c>
      <c r="AN142" s="10"/>
      <c r="AO142" s="72"/>
      <c r="AP142" s="72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</row>
    <row r="143" spans="1:57" x14ac:dyDescent="0.25">
      <c r="A143" s="9">
        <v>137</v>
      </c>
      <c r="B143" s="48" t="s">
        <v>396</v>
      </c>
      <c r="C143" s="49" t="s">
        <v>468</v>
      </c>
      <c r="D143" s="6" t="s">
        <v>69</v>
      </c>
      <c r="E143" s="50" t="s">
        <v>72</v>
      </c>
      <c r="F143" s="51" t="s">
        <v>87</v>
      </c>
      <c r="G143" s="9"/>
      <c r="H143" s="9" t="s">
        <v>88</v>
      </c>
      <c r="I143" s="9" t="s">
        <v>151</v>
      </c>
      <c r="J143" s="10">
        <v>23</v>
      </c>
      <c r="K143" s="10" t="s">
        <v>89</v>
      </c>
      <c r="L143" s="13" t="s">
        <v>76</v>
      </c>
      <c r="M143" s="53" t="s">
        <v>167</v>
      </c>
      <c r="N143" s="9" t="s">
        <v>469</v>
      </c>
      <c r="O143" s="70"/>
      <c r="P143" s="13"/>
      <c r="Q143" s="10"/>
      <c r="R143" s="10"/>
      <c r="S143" s="10"/>
      <c r="T143" s="13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72"/>
      <c r="AP143" s="72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</row>
    <row r="144" spans="1:57" x14ac:dyDescent="0.25">
      <c r="A144" s="9">
        <v>138</v>
      </c>
      <c r="B144" s="48" t="s">
        <v>396</v>
      </c>
      <c r="C144" s="69" t="s">
        <v>470</v>
      </c>
      <c r="D144" s="6" t="s">
        <v>69</v>
      </c>
      <c r="E144" s="50" t="s">
        <v>72</v>
      </c>
      <c r="F144" s="51" t="s">
        <v>87</v>
      </c>
      <c r="G144" s="9"/>
      <c r="H144" s="9" t="s">
        <v>88</v>
      </c>
      <c r="I144" s="9" t="s">
        <v>151</v>
      </c>
      <c r="J144" s="10">
        <v>57</v>
      </c>
      <c r="K144" s="11" t="s">
        <v>89</v>
      </c>
      <c r="L144" s="12" t="s">
        <v>76</v>
      </c>
      <c r="M144" s="53" t="s">
        <v>167</v>
      </c>
      <c r="N144" s="9" t="s">
        <v>471</v>
      </c>
      <c r="O144" s="70"/>
      <c r="P144" s="13"/>
      <c r="Q144" s="10"/>
      <c r="R144" s="10"/>
      <c r="S144" s="10"/>
      <c r="T144" s="13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 t="s">
        <v>241</v>
      </c>
      <c r="AM144" s="10"/>
      <c r="AN144" s="10"/>
      <c r="AO144" s="72"/>
      <c r="AP144" s="72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</row>
    <row r="145" spans="1:57" x14ac:dyDescent="0.25">
      <c r="A145" s="9">
        <v>139</v>
      </c>
      <c r="B145" s="48" t="s">
        <v>396</v>
      </c>
      <c r="C145" s="69" t="s">
        <v>472</v>
      </c>
      <c r="D145" s="6" t="s">
        <v>69</v>
      </c>
      <c r="E145" s="50" t="s">
        <v>72</v>
      </c>
      <c r="F145" s="51" t="s">
        <v>87</v>
      </c>
      <c r="G145" s="9"/>
      <c r="H145" s="9" t="s">
        <v>88</v>
      </c>
      <c r="I145" s="9" t="s">
        <v>151</v>
      </c>
      <c r="J145" s="10">
        <v>89</v>
      </c>
      <c r="K145" s="11" t="s">
        <v>89</v>
      </c>
      <c r="L145" s="12" t="s">
        <v>76</v>
      </c>
      <c r="M145" s="53" t="s">
        <v>421</v>
      </c>
      <c r="N145" s="9" t="s">
        <v>473</v>
      </c>
      <c r="O145" s="70"/>
      <c r="P145" s="13"/>
      <c r="Q145" s="10"/>
      <c r="R145" s="10"/>
      <c r="S145" s="10"/>
      <c r="T145" s="13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 t="s">
        <v>241</v>
      </c>
      <c r="AM145" s="10"/>
      <c r="AN145" s="10"/>
      <c r="AO145" s="72"/>
      <c r="AP145" s="72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</row>
    <row r="146" spans="1:57" x14ac:dyDescent="0.25">
      <c r="A146" s="9">
        <v>140</v>
      </c>
      <c r="B146" s="48" t="s">
        <v>396</v>
      </c>
      <c r="C146" s="69" t="s">
        <v>474</v>
      </c>
      <c r="D146" s="6" t="s">
        <v>69</v>
      </c>
      <c r="E146" s="50" t="s">
        <v>72</v>
      </c>
      <c r="F146" s="51" t="s">
        <v>87</v>
      </c>
      <c r="G146" s="9"/>
      <c r="H146" s="9" t="s">
        <v>116</v>
      </c>
      <c r="I146" s="9">
        <v>9953391</v>
      </c>
      <c r="J146" s="10">
        <v>47</v>
      </c>
      <c r="K146" s="11" t="s">
        <v>89</v>
      </c>
      <c r="L146" s="12" t="s">
        <v>76</v>
      </c>
      <c r="M146" s="53" t="s">
        <v>167</v>
      </c>
      <c r="N146" s="9" t="s">
        <v>475</v>
      </c>
      <c r="O146" s="70"/>
      <c r="P146" s="13"/>
      <c r="Q146" s="10"/>
      <c r="R146" s="10"/>
      <c r="S146" s="10"/>
      <c r="T146" s="13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 t="s">
        <v>241</v>
      </c>
      <c r="AM146" s="10"/>
      <c r="AN146" s="10"/>
      <c r="AO146" s="72"/>
      <c r="AP146" s="72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</row>
    <row r="147" spans="1:57" x14ac:dyDescent="0.25">
      <c r="A147" s="9">
        <v>141</v>
      </c>
      <c r="B147" s="48" t="s">
        <v>396</v>
      </c>
      <c r="C147" s="69" t="s">
        <v>476</v>
      </c>
      <c r="D147" s="6" t="s">
        <v>69</v>
      </c>
      <c r="E147" s="50" t="s">
        <v>72</v>
      </c>
      <c r="F147" s="51" t="s">
        <v>87</v>
      </c>
      <c r="G147" s="9"/>
      <c r="H147" s="9" t="s">
        <v>88</v>
      </c>
      <c r="I147" s="9" t="s">
        <v>151</v>
      </c>
      <c r="J147" s="10">
        <v>33</v>
      </c>
      <c r="K147" s="11" t="s">
        <v>89</v>
      </c>
      <c r="L147" s="12" t="s">
        <v>76</v>
      </c>
      <c r="M147" s="53" t="s">
        <v>167</v>
      </c>
      <c r="N147" s="9" t="s">
        <v>477</v>
      </c>
      <c r="O147" s="70"/>
      <c r="P147" s="13"/>
      <c r="Q147" s="10"/>
      <c r="R147" s="10"/>
      <c r="S147" s="10"/>
      <c r="T147" s="13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 t="s">
        <v>241</v>
      </c>
      <c r="AM147" s="10"/>
      <c r="AN147" s="10"/>
      <c r="AO147" s="72"/>
      <c r="AP147" s="72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</row>
    <row r="148" spans="1:57" x14ac:dyDescent="0.25">
      <c r="A148" s="9">
        <v>142</v>
      </c>
      <c r="B148" s="48" t="s">
        <v>396</v>
      </c>
      <c r="C148" s="69" t="s">
        <v>478</v>
      </c>
      <c r="D148" s="6" t="s">
        <v>69</v>
      </c>
      <c r="E148" s="50" t="s">
        <v>72</v>
      </c>
      <c r="F148" s="51" t="s">
        <v>87</v>
      </c>
      <c r="G148" s="9"/>
      <c r="H148" s="9" t="s">
        <v>88</v>
      </c>
      <c r="I148" s="9" t="s">
        <v>151</v>
      </c>
      <c r="J148" s="10">
        <v>28</v>
      </c>
      <c r="K148" s="11" t="s">
        <v>89</v>
      </c>
      <c r="L148" s="12" t="s">
        <v>76</v>
      </c>
      <c r="M148" s="53" t="s">
        <v>167</v>
      </c>
      <c r="N148" s="9" t="s">
        <v>479</v>
      </c>
      <c r="O148" s="70"/>
      <c r="P148" s="13"/>
      <c r="Q148" s="10"/>
      <c r="R148" s="10"/>
      <c r="S148" s="10"/>
      <c r="T148" s="13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 t="s">
        <v>241</v>
      </c>
      <c r="AM148" s="10"/>
      <c r="AN148" s="10"/>
      <c r="AO148" s="72"/>
      <c r="AP148" s="72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</row>
    <row r="149" spans="1:57" x14ac:dyDescent="0.25">
      <c r="A149" s="9">
        <v>143</v>
      </c>
      <c r="B149" s="48" t="s">
        <v>396</v>
      </c>
      <c r="C149" s="69" t="s">
        <v>480</v>
      </c>
      <c r="D149" s="6" t="s">
        <v>69</v>
      </c>
      <c r="E149" s="50" t="s">
        <v>72</v>
      </c>
      <c r="F149" s="51" t="s">
        <v>87</v>
      </c>
      <c r="G149" s="9"/>
      <c r="H149" s="9" t="s">
        <v>116</v>
      </c>
      <c r="I149" s="9">
        <v>9953391</v>
      </c>
      <c r="J149" s="10">
        <v>14</v>
      </c>
      <c r="K149" s="11" t="s">
        <v>89</v>
      </c>
      <c r="L149" s="12" t="s">
        <v>76</v>
      </c>
      <c r="M149" s="53" t="s">
        <v>167</v>
      </c>
      <c r="N149" s="9" t="s">
        <v>481</v>
      </c>
      <c r="O149" s="70"/>
      <c r="P149" s="13"/>
      <c r="Q149" s="10"/>
      <c r="R149" s="10"/>
      <c r="S149" s="10"/>
      <c r="T149" s="13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 t="s">
        <v>241</v>
      </c>
      <c r="AM149" s="10"/>
      <c r="AN149" s="10"/>
      <c r="AO149" s="72"/>
      <c r="AP149" s="72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</row>
    <row r="150" spans="1:57" x14ac:dyDescent="0.25">
      <c r="A150" s="9">
        <v>144</v>
      </c>
      <c r="B150" s="48" t="s">
        <v>396</v>
      </c>
      <c r="C150" s="69" t="s">
        <v>482</v>
      </c>
      <c r="D150" s="6" t="s">
        <v>69</v>
      </c>
      <c r="E150" s="50" t="s">
        <v>72</v>
      </c>
      <c r="F150" s="51" t="s">
        <v>87</v>
      </c>
      <c r="G150" s="9"/>
      <c r="H150" s="9" t="s">
        <v>88</v>
      </c>
      <c r="I150" s="9" t="s">
        <v>151</v>
      </c>
      <c r="J150" s="10">
        <v>46</v>
      </c>
      <c r="K150" s="11" t="s">
        <v>89</v>
      </c>
      <c r="L150" s="12" t="s">
        <v>76</v>
      </c>
      <c r="M150" s="53" t="s">
        <v>273</v>
      </c>
      <c r="N150" s="9" t="s">
        <v>274</v>
      </c>
      <c r="O150" s="70"/>
      <c r="P150" s="13"/>
      <c r="Q150" s="10"/>
      <c r="R150" s="10"/>
      <c r="S150" s="10"/>
      <c r="T150" s="13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 t="s">
        <v>241</v>
      </c>
      <c r="AM150" s="10"/>
      <c r="AN150" s="10"/>
      <c r="AO150" s="72"/>
      <c r="AP150" s="72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</row>
    <row r="151" spans="1:57" x14ac:dyDescent="0.25">
      <c r="A151" s="9">
        <v>145</v>
      </c>
      <c r="B151" s="48" t="s">
        <v>396</v>
      </c>
      <c r="C151" s="49" t="s">
        <v>483</v>
      </c>
      <c r="D151" s="6" t="s">
        <v>69</v>
      </c>
      <c r="E151" s="50" t="s">
        <v>72</v>
      </c>
      <c r="F151" s="51" t="s">
        <v>87</v>
      </c>
      <c r="G151" s="9"/>
      <c r="H151" s="9" t="s">
        <v>88</v>
      </c>
      <c r="I151" s="9" t="s">
        <v>151</v>
      </c>
      <c r="J151" s="10">
        <v>32</v>
      </c>
      <c r="K151" s="10" t="s">
        <v>96</v>
      </c>
      <c r="L151" s="13" t="s">
        <v>97</v>
      </c>
      <c r="M151" s="53" t="s">
        <v>273</v>
      </c>
      <c r="N151" s="9" t="s">
        <v>274</v>
      </c>
      <c r="O151" s="70"/>
      <c r="P151" s="13"/>
      <c r="Q151" s="10"/>
      <c r="R151" s="10"/>
      <c r="S151" s="10"/>
      <c r="T151" s="13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 t="s">
        <v>100</v>
      </c>
      <c r="AL151" s="10" t="s">
        <v>276</v>
      </c>
      <c r="AM151" s="9" t="s">
        <v>484</v>
      </c>
      <c r="AN151" s="10"/>
      <c r="AO151" s="72"/>
      <c r="AP151" s="72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</row>
    <row r="152" spans="1:57" x14ac:dyDescent="0.25">
      <c r="A152" s="9">
        <v>146</v>
      </c>
      <c r="B152" s="48" t="s">
        <v>396</v>
      </c>
      <c r="C152" s="49" t="s">
        <v>485</v>
      </c>
      <c r="D152" s="6" t="s">
        <v>69</v>
      </c>
      <c r="E152" s="50" t="s">
        <v>72</v>
      </c>
      <c r="F152" s="51" t="s">
        <v>87</v>
      </c>
      <c r="G152" s="9"/>
      <c r="H152" s="9" t="s">
        <v>88</v>
      </c>
      <c r="I152" s="9" t="s">
        <v>151</v>
      </c>
      <c r="J152" s="10">
        <v>20</v>
      </c>
      <c r="K152" s="10" t="s">
        <v>89</v>
      </c>
      <c r="L152" s="13" t="s">
        <v>76</v>
      </c>
      <c r="M152" s="53" t="s">
        <v>129</v>
      </c>
      <c r="N152" s="9" t="s">
        <v>486</v>
      </c>
      <c r="O152" s="70"/>
      <c r="P152" s="13"/>
      <c r="Q152" s="10"/>
      <c r="R152" s="10"/>
      <c r="S152" s="10"/>
      <c r="T152" s="13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72"/>
      <c r="AP152" s="72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</row>
    <row r="153" spans="1:57" x14ac:dyDescent="0.25">
      <c r="A153" s="9">
        <v>147</v>
      </c>
      <c r="B153" s="48" t="s">
        <v>396</v>
      </c>
      <c r="C153" s="49" t="s">
        <v>487</v>
      </c>
      <c r="D153" s="6" t="s">
        <v>69</v>
      </c>
      <c r="E153" s="50" t="s">
        <v>72</v>
      </c>
      <c r="F153" s="51" t="s">
        <v>87</v>
      </c>
      <c r="G153" s="9"/>
      <c r="H153" s="9" t="s">
        <v>88</v>
      </c>
      <c r="I153" s="9" t="s">
        <v>151</v>
      </c>
      <c r="J153" s="10">
        <v>36</v>
      </c>
      <c r="K153" s="9" t="s">
        <v>89</v>
      </c>
      <c r="L153" s="14" t="s">
        <v>76</v>
      </c>
      <c r="M153" s="53" t="s">
        <v>167</v>
      </c>
      <c r="N153" s="9" t="s">
        <v>488</v>
      </c>
      <c r="O153" s="70"/>
      <c r="P153" s="13"/>
      <c r="Q153" s="10"/>
      <c r="R153" s="10"/>
      <c r="S153" s="10"/>
      <c r="T153" s="13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72"/>
      <c r="AP153" s="72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</row>
    <row r="154" spans="1:57" x14ac:dyDescent="0.25">
      <c r="A154" s="9">
        <v>148</v>
      </c>
      <c r="B154" s="48" t="s">
        <v>396</v>
      </c>
      <c r="C154" s="49" t="s">
        <v>489</v>
      </c>
      <c r="D154" s="6" t="s">
        <v>69</v>
      </c>
      <c r="E154" s="50" t="s">
        <v>72</v>
      </c>
      <c r="F154" s="51" t="s">
        <v>87</v>
      </c>
      <c r="G154" s="9"/>
      <c r="H154" s="9" t="s">
        <v>88</v>
      </c>
      <c r="I154" s="9" t="s">
        <v>151</v>
      </c>
      <c r="J154" s="10">
        <v>9</v>
      </c>
      <c r="K154" s="10" t="s">
        <v>89</v>
      </c>
      <c r="L154" s="13" t="s">
        <v>76</v>
      </c>
      <c r="M154" s="53" t="s">
        <v>167</v>
      </c>
      <c r="N154" s="14" t="s">
        <v>490</v>
      </c>
      <c r="O154" s="70"/>
      <c r="P154" s="13"/>
      <c r="Q154" s="10"/>
      <c r="R154" s="10"/>
      <c r="S154" s="10"/>
      <c r="T154" s="13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72"/>
      <c r="AP154" s="72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</row>
    <row r="155" spans="1:57" x14ac:dyDescent="0.25">
      <c r="A155" s="9">
        <v>149</v>
      </c>
      <c r="B155" s="48" t="s">
        <v>396</v>
      </c>
      <c r="C155" s="49" t="s">
        <v>491</v>
      </c>
      <c r="D155" s="6" t="s">
        <v>69</v>
      </c>
      <c r="E155" s="50" t="s">
        <v>72</v>
      </c>
      <c r="F155" s="51" t="s">
        <v>87</v>
      </c>
      <c r="G155" s="9"/>
      <c r="H155" s="9" t="s">
        <v>88</v>
      </c>
      <c r="I155" s="9" t="s">
        <v>151</v>
      </c>
      <c r="J155" s="10">
        <v>6</v>
      </c>
      <c r="K155" s="10" t="s">
        <v>89</v>
      </c>
      <c r="L155" s="13" t="s">
        <v>76</v>
      </c>
      <c r="M155" s="53" t="s">
        <v>167</v>
      </c>
      <c r="N155" s="14" t="s">
        <v>492</v>
      </c>
      <c r="O155" s="70"/>
      <c r="P155" s="13"/>
      <c r="Q155" s="10"/>
      <c r="R155" s="10"/>
      <c r="S155" s="10"/>
      <c r="T155" s="13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72"/>
      <c r="AP155" s="72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</row>
    <row r="156" spans="1:57" x14ac:dyDescent="0.25">
      <c r="A156" s="9">
        <v>150</v>
      </c>
      <c r="B156" s="48" t="s">
        <v>396</v>
      </c>
      <c r="C156" s="49" t="s">
        <v>493</v>
      </c>
      <c r="D156" s="6" t="s">
        <v>69</v>
      </c>
      <c r="E156" s="50" t="s">
        <v>72</v>
      </c>
      <c r="F156" s="51" t="s">
        <v>87</v>
      </c>
      <c r="G156" s="9"/>
      <c r="H156" s="9" t="s">
        <v>88</v>
      </c>
      <c r="I156" s="9" t="s">
        <v>151</v>
      </c>
      <c r="J156" s="10">
        <v>18</v>
      </c>
      <c r="K156" s="10" t="s">
        <v>96</v>
      </c>
      <c r="L156" s="13" t="s">
        <v>97</v>
      </c>
      <c r="M156" s="53" t="s">
        <v>167</v>
      </c>
      <c r="N156" s="14" t="s">
        <v>494</v>
      </c>
      <c r="O156" s="70"/>
      <c r="P156" s="13"/>
      <c r="Q156" s="10"/>
      <c r="R156" s="10"/>
      <c r="S156" s="10"/>
      <c r="T156" s="13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 t="s">
        <v>100</v>
      </c>
      <c r="AL156" s="10"/>
      <c r="AM156" s="9">
        <v>4</v>
      </c>
      <c r="AN156" s="10"/>
      <c r="AO156" s="72"/>
      <c r="AP156" s="72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</row>
    <row r="157" spans="1:57" x14ac:dyDescent="0.25">
      <c r="A157" s="9">
        <v>151</v>
      </c>
      <c r="B157" s="48" t="s">
        <v>396</v>
      </c>
      <c r="C157" s="49" t="s">
        <v>495</v>
      </c>
      <c r="D157" s="6" t="s">
        <v>69</v>
      </c>
      <c r="E157" s="50" t="s">
        <v>72</v>
      </c>
      <c r="F157" s="51" t="s">
        <v>87</v>
      </c>
      <c r="G157" s="9"/>
      <c r="H157" s="9" t="s">
        <v>88</v>
      </c>
      <c r="I157" s="9" t="s">
        <v>151</v>
      </c>
      <c r="J157" s="10">
        <v>38</v>
      </c>
      <c r="K157" s="10" t="s">
        <v>96</v>
      </c>
      <c r="L157" s="13" t="s">
        <v>97</v>
      </c>
      <c r="M157" s="53" t="s">
        <v>326</v>
      </c>
      <c r="N157" s="14" t="s">
        <v>496</v>
      </c>
      <c r="O157" s="70"/>
      <c r="P157" s="13"/>
      <c r="Q157" s="10"/>
      <c r="R157" s="10"/>
      <c r="S157" s="10"/>
      <c r="T157" s="13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 t="s">
        <v>100</v>
      </c>
      <c r="AL157" s="10"/>
      <c r="AM157" s="9" t="s">
        <v>497</v>
      </c>
      <c r="AN157" s="10" t="s">
        <v>329</v>
      </c>
      <c r="AO157" s="72">
        <v>46280</v>
      </c>
      <c r="AP157" s="72">
        <v>46280</v>
      </c>
      <c r="AQ157" s="10">
        <v>118</v>
      </c>
      <c r="AR157" s="10" t="s">
        <v>103</v>
      </c>
      <c r="AS157" s="10"/>
      <c r="AT157" s="10"/>
      <c r="AU157" s="10"/>
      <c r="AV157" s="10"/>
      <c r="AW157" s="10"/>
      <c r="AX157" s="10"/>
      <c r="AY157" s="10" t="s">
        <v>330</v>
      </c>
      <c r="AZ157" s="72"/>
      <c r="BA157" s="72"/>
      <c r="BB157" s="10"/>
      <c r="BC157" s="10"/>
      <c r="BD157" s="10"/>
      <c r="BE157" s="10"/>
    </row>
    <row r="158" spans="1:57" x14ac:dyDescent="0.25">
      <c r="A158" s="9">
        <v>152</v>
      </c>
      <c r="B158" s="48" t="s">
        <v>498</v>
      </c>
      <c r="C158" s="49" t="s">
        <v>499</v>
      </c>
      <c r="D158" s="6" t="s">
        <v>69</v>
      </c>
      <c r="E158" s="50" t="s">
        <v>72</v>
      </c>
      <c r="F158" s="51" t="s">
        <v>87</v>
      </c>
      <c r="G158" s="9"/>
      <c r="H158" s="9" t="s">
        <v>88</v>
      </c>
      <c r="I158" s="9" t="s">
        <v>151</v>
      </c>
      <c r="J158" s="9">
        <v>1</v>
      </c>
      <c r="K158" s="10" t="s">
        <v>89</v>
      </c>
      <c r="L158" s="13" t="s">
        <v>76</v>
      </c>
      <c r="M158" s="53" t="s">
        <v>129</v>
      </c>
      <c r="N158" s="14" t="s">
        <v>500</v>
      </c>
      <c r="O158" s="70"/>
      <c r="P158" s="13"/>
      <c r="Q158" s="10"/>
      <c r="R158" s="10"/>
      <c r="S158" s="10"/>
      <c r="T158" s="13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72"/>
      <c r="AP158" s="72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</row>
    <row r="159" spans="1:57" x14ac:dyDescent="0.25">
      <c r="A159" s="9">
        <v>153</v>
      </c>
      <c r="B159" s="48" t="s">
        <v>498</v>
      </c>
      <c r="C159" s="49" t="s">
        <v>501</v>
      </c>
      <c r="D159" s="6" t="s">
        <v>69</v>
      </c>
      <c r="E159" s="50" t="s">
        <v>72</v>
      </c>
      <c r="F159" s="51" t="s">
        <v>87</v>
      </c>
      <c r="G159" s="9"/>
      <c r="H159" s="9" t="s">
        <v>88</v>
      </c>
      <c r="I159" s="9" t="s">
        <v>151</v>
      </c>
      <c r="J159" s="9">
        <v>1</v>
      </c>
      <c r="K159" s="10" t="s">
        <v>89</v>
      </c>
      <c r="L159" s="13" t="s">
        <v>76</v>
      </c>
      <c r="M159" s="53" t="s">
        <v>129</v>
      </c>
      <c r="N159" s="9" t="s">
        <v>500</v>
      </c>
      <c r="O159" s="70"/>
      <c r="P159" s="13"/>
      <c r="Q159" s="10"/>
      <c r="R159" s="10"/>
      <c r="S159" s="10"/>
      <c r="T159" s="13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72"/>
      <c r="AP159" s="72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</row>
    <row r="160" spans="1:57" x14ac:dyDescent="0.25">
      <c r="A160" s="9">
        <v>154</v>
      </c>
      <c r="B160" s="48" t="s">
        <v>498</v>
      </c>
      <c r="C160" s="49" t="s">
        <v>502</v>
      </c>
      <c r="D160" s="6" t="s">
        <v>69</v>
      </c>
      <c r="E160" s="50" t="s">
        <v>72</v>
      </c>
      <c r="F160" s="51" t="s">
        <v>87</v>
      </c>
      <c r="G160" s="9"/>
      <c r="H160" s="9" t="s">
        <v>88</v>
      </c>
      <c r="I160" s="9" t="s">
        <v>151</v>
      </c>
      <c r="J160" s="9">
        <v>1</v>
      </c>
      <c r="K160" s="10" t="s">
        <v>89</v>
      </c>
      <c r="L160" s="13" t="s">
        <v>76</v>
      </c>
      <c r="M160" s="53" t="s">
        <v>129</v>
      </c>
      <c r="N160" s="9" t="s">
        <v>500</v>
      </c>
      <c r="O160" s="70"/>
      <c r="P160" s="13"/>
      <c r="Q160" s="10"/>
      <c r="R160" s="10"/>
      <c r="S160" s="10"/>
      <c r="T160" s="13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72"/>
      <c r="AP160" s="72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</row>
    <row r="161" spans="1:57" x14ac:dyDescent="0.25">
      <c r="A161" s="9">
        <v>155</v>
      </c>
      <c r="B161" s="48" t="s">
        <v>498</v>
      </c>
      <c r="C161" s="49" t="s">
        <v>503</v>
      </c>
      <c r="D161" s="6" t="s">
        <v>69</v>
      </c>
      <c r="E161" s="50" t="s">
        <v>72</v>
      </c>
      <c r="F161" s="51" t="s">
        <v>87</v>
      </c>
      <c r="G161" s="9"/>
      <c r="H161" s="9" t="s">
        <v>88</v>
      </c>
      <c r="I161" s="9" t="s">
        <v>151</v>
      </c>
      <c r="J161" s="9">
        <v>1</v>
      </c>
      <c r="K161" s="10" t="s">
        <v>89</v>
      </c>
      <c r="L161" s="13" t="s">
        <v>76</v>
      </c>
      <c r="M161" s="53" t="s">
        <v>129</v>
      </c>
      <c r="N161" s="9" t="s">
        <v>500</v>
      </c>
      <c r="O161" s="70"/>
      <c r="P161" s="13"/>
      <c r="Q161" s="10"/>
      <c r="R161" s="10"/>
      <c r="S161" s="10"/>
      <c r="T161" s="13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72"/>
      <c r="AP161" s="72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</row>
    <row r="162" spans="1:57" x14ac:dyDescent="0.25">
      <c r="A162" s="9">
        <v>156</v>
      </c>
      <c r="B162" s="48" t="s">
        <v>498</v>
      </c>
      <c r="C162" s="49" t="s">
        <v>504</v>
      </c>
      <c r="D162" s="6" t="s">
        <v>69</v>
      </c>
      <c r="E162" s="50" t="s">
        <v>72</v>
      </c>
      <c r="F162" s="51" t="s">
        <v>87</v>
      </c>
      <c r="G162" s="9"/>
      <c r="H162" s="9" t="s">
        <v>88</v>
      </c>
      <c r="I162" s="9" t="s">
        <v>151</v>
      </c>
      <c r="J162" s="9">
        <v>1</v>
      </c>
      <c r="K162" s="10" t="s">
        <v>89</v>
      </c>
      <c r="L162" s="13" t="s">
        <v>76</v>
      </c>
      <c r="M162" s="53" t="s">
        <v>129</v>
      </c>
      <c r="N162" s="9" t="s">
        <v>500</v>
      </c>
      <c r="O162" s="70"/>
      <c r="P162" s="13"/>
      <c r="Q162" s="10"/>
      <c r="R162" s="10"/>
      <c r="S162" s="10"/>
      <c r="T162" s="13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72"/>
      <c r="AP162" s="72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</row>
    <row r="163" spans="1:57" x14ac:dyDescent="0.25">
      <c r="A163" s="9">
        <v>157</v>
      </c>
      <c r="B163" s="48" t="s">
        <v>498</v>
      </c>
      <c r="C163" s="49" t="s">
        <v>505</v>
      </c>
      <c r="D163" s="6" t="s">
        <v>69</v>
      </c>
      <c r="E163" s="50" t="s">
        <v>72</v>
      </c>
      <c r="F163" s="51" t="s">
        <v>87</v>
      </c>
      <c r="G163" s="9"/>
      <c r="H163" s="9" t="s">
        <v>88</v>
      </c>
      <c r="I163" s="9" t="s">
        <v>151</v>
      </c>
      <c r="J163" s="9">
        <v>1</v>
      </c>
      <c r="K163" s="10" t="s">
        <v>89</v>
      </c>
      <c r="L163" s="13" t="s">
        <v>76</v>
      </c>
      <c r="M163" s="53" t="s">
        <v>129</v>
      </c>
      <c r="N163" s="9" t="s">
        <v>500</v>
      </c>
      <c r="O163" s="70"/>
      <c r="P163" s="13"/>
      <c r="Q163" s="10"/>
      <c r="R163" s="10"/>
      <c r="S163" s="10"/>
      <c r="T163" s="13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72"/>
      <c r="AP163" s="72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</row>
    <row r="164" spans="1:57" x14ac:dyDescent="0.25">
      <c r="A164" s="9">
        <v>158</v>
      </c>
      <c r="B164" s="48" t="s">
        <v>498</v>
      </c>
      <c r="C164" s="49" t="s">
        <v>506</v>
      </c>
      <c r="D164" s="6" t="s">
        <v>69</v>
      </c>
      <c r="E164" s="50" t="s">
        <v>72</v>
      </c>
      <c r="F164" s="51" t="s">
        <v>87</v>
      </c>
      <c r="G164" s="9"/>
      <c r="H164" s="9" t="s">
        <v>88</v>
      </c>
      <c r="I164" s="9" t="s">
        <v>151</v>
      </c>
      <c r="J164" s="9">
        <v>1</v>
      </c>
      <c r="K164" s="10" t="s">
        <v>89</v>
      </c>
      <c r="L164" s="13" t="s">
        <v>76</v>
      </c>
      <c r="M164" s="53" t="s">
        <v>129</v>
      </c>
      <c r="N164" s="9" t="s">
        <v>500</v>
      </c>
      <c r="O164" s="70"/>
      <c r="P164" s="13"/>
      <c r="Q164" s="10"/>
      <c r="R164" s="10"/>
      <c r="S164" s="10"/>
      <c r="T164" s="13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72"/>
      <c r="AP164" s="72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</row>
    <row r="165" spans="1:57" x14ac:dyDescent="0.25">
      <c r="A165" s="9">
        <v>159</v>
      </c>
      <c r="B165" s="48" t="s">
        <v>498</v>
      </c>
      <c r="C165" s="49" t="s">
        <v>507</v>
      </c>
      <c r="D165" s="6" t="s">
        <v>69</v>
      </c>
      <c r="E165" s="50" t="s">
        <v>72</v>
      </c>
      <c r="F165" s="51" t="s">
        <v>87</v>
      </c>
      <c r="G165" s="9"/>
      <c r="H165" s="9" t="s">
        <v>88</v>
      </c>
      <c r="I165" s="9" t="s">
        <v>151</v>
      </c>
      <c r="J165" s="9">
        <v>1</v>
      </c>
      <c r="K165" s="10" t="s">
        <v>89</v>
      </c>
      <c r="L165" s="13" t="s">
        <v>76</v>
      </c>
      <c r="M165" s="53" t="s">
        <v>129</v>
      </c>
      <c r="N165" s="9" t="s">
        <v>500</v>
      </c>
      <c r="O165" s="70"/>
      <c r="P165" s="13"/>
      <c r="Q165" s="10"/>
      <c r="R165" s="10"/>
      <c r="S165" s="10"/>
      <c r="T165" s="13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72"/>
      <c r="AP165" s="72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</row>
    <row r="166" spans="1:57" x14ac:dyDescent="0.25">
      <c r="A166" s="9">
        <v>160</v>
      </c>
      <c r="B166" s="48" t="s">
        <v>508</v>
      </c>
      <c r="C166" s="49" t="s">
        <v>509</v>
      </c>
      <c r="D166" s="6" t="s">
        <v>69</v>
      </c>
      <c r="E166" s="50" t="s">
        <v>72</v>
      </c>
      <c r="F166" s="51" t="s">
        <v>87</v>
      </c>
      <c r="G166" s="9"/>
      <c r="H166" s="9" t="s">
        <v>88</v>
      </c>
      <c r="I166" s="9">
        <v>9953391</v>
      </c>
      <c r="J166" s="10">
        <v>37</v>
      </c>
      <c r="K166" s="9" t="s">
        <v>89</v>
      </c>
      <c r="L166" s="14" t="s">
        <v>76</v>
      </c>
      <c r="M166" s="53" t="s">
        <v>167</v>
      </c>
      <c r="N166" s="9" t="s">
        <v>510</v>
      </c>
      <c r="O166" s="70"/>
      <c r="P166" s="13"/>
      <c r="Q166" s="10"/>
      <c r="R166" s="10"/>
      <c r="S166" s="10"/>
      <c r="T166" s="13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72"/>
      <c r="AP166" s="72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</row>
    <row r="167" spans="1:57" x14ac:dyDescent="0.25">
      <c r="A167" s="9">
        <v>161</v>
      </c>
      <c r="B167" s="48" t="s">
        <v>508</v>
      </c>
      <c r="C167" s="49" t="s">
        <v>511</v>
      </c>
      <c r="D167" s="6" t="s">
        <v>69</v>
      </c>
      <c r="E167" s="50" t="s">
        <v>72</v>
      </c>
      <c r="F167" s="51" t="s">
        <v>87</v>
      </c>
      <c r="G167" s="9"/>
      <c r="H167" s="9">
        <v>4193</v>
      </c>
      <c r="I167" s="9">
        <v>9953391</v>
      </c>
      <c r="J167" s="10">
        <v>1</v>
      </c>
      <c r="K167" s="10" t="s">
        <v>89</v>
      </c>
      <c r="L167" s="13" t="s">
        <v>76</v>
      </c>
      <c r="M167" s="53" t="s">
        <v>167</v>
      </c>
      <c r="N167" s="9" t="s">
        <v>512</v>
      </c>
      <c r="O167" s="70"/>
      <c r="P167" s="13"/>
      <c r="Q167" s="10"/>
      <c r="R167" s="10"/>
      <c r="S167" s="10"/>
      <c r="T167" s="13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72"/>
      <c r="AP167" s="72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</row>
    <row r="168" spans="1:57" x14ac:dyDescent="0.25">
      <c r="A168" s="9">
        <v>162</v>
      </c>
      <c r="B168" s="48" t="s">
        <v>508</v>
      </c>
      <c r="C168" s="49" t="s">
        <v>513</v>
      </c>
      <c r="D168" s="6" t="s">
        <v>69</v>
      </c>
      <c r="E168" s="50" t="s">
        <v>72</v>
      </c>
      <c r="F168" s="51" t="s">
        <v>87</v>
      </c>
      <c r="G168" s="9"/>
      <c r="H168" s="9" t="s">
        <v>88</v>
      </c>
      <c r="I168" s="9" t="s">
        <v>151</v>
      </c>
      <c r="J168" s="10">
        <v>26</v>
      </c>
      <c r="K168" s="10" t="s">
        <v>89</v>
      </c>
      <c r="L168" s="13" t="s">
        <v>76</v>
      </c>
      <c r="M168" s="53" t="s">
        <v>167</v>
      </c>
      <c r="N168" s="3" t="s">
        <v>514</v>
      </c>
      <c r="O168" s="70"/>
      <c r="P168" s="13"/>
      <c r="Q168" s="10"/>
      <c r="R168" s="10"/>
      <c r="S168" s="10"/>
      <c r="T168" s="13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72"/>
      <c r="AP168" s="72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</row>
    <row r="169" spans="1:57" x14ac:dyDescent="0.25">
      <c r="A169" s="9">
        <v>163</v>
      </c>
      <c r="B169" s="48" t="s">
        <v>508</v>
      </c>
      <c r="C169" s="69" t="s">
        <v>515</v>
      </c>
      <c r="D169" s="6" t="s">
        <v>69</v>
      </c>
      <c r="E169" s="50" t="s">
        <v>72</v>
      </c>
      <c r="F169" s="51" t="s">
        <v>87</v>
      </c>
      <c r="G169" s="9"/>
      <c r="H169" s="9" t="s">
        <v>88</v>
      </c>
      <c r="I169" s="9" t="s">
        <v>151</v>
      </c>
      <c r="J169" s="10">
        <v>13</v>
      </c>
      <c r="K169" s="11" t="s">
        <v>89</v>
      </c>
      <c r="L169" s="12" t="s">
        <v>76</v>
      </c>
      <c r="M169" s="53" t="s">
        <v>421</v>
      </c>
      <c r="N169" s="9" t="s">
        <v>516</v>
      </c>
      <c r="O169" s="70"/>
      <c r="P169" s="13"/>
      <c r="Q169" s="10"/>
      <c r="R169" s="10"/>
      <c r="S169" s="10"/>
      <c r="T169" s="13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72"/>
      <c r="AP169" s="72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</row>
    <row r="170" spans="1:57" x14ac:dyDescent="0.25">
      <c r="A170" s="9">
        <v>164</v>
      </c>
      <c r="B170" s="48" t="s">
        <v>508</v>
      </c>
      <c r="C170" s="69" t="s">
        <v>517</v>
      </c>
      <c r="D170" s="6" t="s">
        <v>69</v>
      </c>
      <c r="E170" s="50" t="s">
        <v>72</v>
      </c>
      <c r="F170" s="51" t="s">
        <v>87</v>
      </c>
      <c r="G170" s="9"/>
      <c r="H170" s="9" t="s">
        <v>88</v>
      </c>
      <c r="I170" s="9">
        <v>9953391</v>
      </c>
      <c r="J170" s="10">
        <v>140</v>
      </c>
      <c r="K170" s="11" t="s">
        <v>89</v>
      </c>
      <c r="L170" s="12" t="s">
        <v>76</v>
      </c>
      <c r="M170" s="53" t="s">
        <v>167</v>
      </c>
      <c r="N170" s="3" t="s">
        <v>514</v>
      </c>
      <c r="O170" s="70"/>
      <c r="P170" s="13"/>
      <c r="Q170" s="10"/>
      <c r="R170" s="10"/>
      <c r="S170" s="10"/>
      <c r="T170" s="13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 t="s">
        <v>241</v>
      </c>
      <c r="AM170" s="10"/>
      <c r="AN170" s="10"/>
      <c r="AO170" s="72"/>
      <c r="AP170" s="72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</row>
    <row r="171" spans="1:57" x14ac:dyDescent="0.25">
      <c r="A171" s="9">
        <v>165</v>
      </c>
      <c r="B171" s="48" t="s">
        <v>508</v>
      </c>
      <c r="C171" s="49" t="s">
        <v>518</v>
      </c>
      <c r="D171" s="6" t="s">
        <v>69</v>
      </c>
      <c r="E171" s="50" t="s">
        <v>72</v>
      </c>
      <c r="F171" s="51" t="s">
        <v>87</v>
      </c>
      <c r="G171" s="9"/>
      <c r="H171" s="9" t="s">
        <v>88</v>
      </c>
      <c r="I171" s="9">
        <v>9953391</v>
      </c>
      <c r="J171" s="10">
        <v>317</v>
      </c>
      <c r="K171" s="10" t="s">
        <v>96</v>
      </c>
      <c r="L171" s="13" t="s">
        <v>97</v>
      </c>
      <c r="M171" s="53" t="s">
        <v>519</v>
      </c>
      <c r="N171" s="3" t="s">
        <v>520</v>
      </c>
      <c r="O171" s="70"/>
      <c r="P171" s="13"/>
      <c r="Q171" s="10"/>
      <c r="R171" s="10"/>
      <c r="S171" s="10"/>
      <c r="T171" s="13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 t="s">
        <v>100</v>
      </c>
      <c r="AL171" s="10"/>
      <c r="AM171" s="9" t="s">
        <v>521</v>
      </c>
      <c r="AN171" s="81" t="s">
        <v>282</v>
      </c>
      <c r="AO171" s="72"/>
      <c r="AP171" s="72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</row>
    <row r="172" spans="1:57" x14ac:dyDescent="0.25">
      <c r="A172" s="9">
        <v>166</v>
      </c>
      <c r="B172" s="48" t="s">
        <v>508</v>
      </c>
      <c r="C172" s="69" t="s">
        <v>522</v>
      </c>
      <c r="D172" s="6" t="s">
        <v>69</v>
      </c>
      <c r="E172" s="50" t="s">
        <v>72</v>
      </c>
      <c r="F172" s="51" t="s">
        <v>87</v>
      </c>
      <c r="G172" s="9"/>
      <c r="H172" s="9" t="s">
        <v>88</v>
      </c>
      <c r="I172" s="9" t="s">
        <v>151</v>
      </c>
      <c r="J172" s="10">
        <v>5</v>
      </c>
      <c r="K172" s="11" t="s">
        <v>89</v>
      </c>
      <c r="L172" s="12" t="s">
        <v>76</v>
      </c>
      <c r="M172" s="53" t="s">
        <v>273</v>
      </c>
      <c r="N172" s="9" t="s">
        <v>274</v>
      </c>
      <c r="O172" s="70"/>
      <c r="P172" s="13"/>
      <c r="Q172" s="10"/>
      <c r="R172" s="10"/>
      <c r="S172" s="10"/>
      <c r="T172" s="13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 t="s">
        <v>241</v>
      </c>
      <c r="AM172" s="10"/>
      <c r="AN172" s="10"/>
      <c r="AO172" s="72"/>
      <c r="AP172" s="72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</row>
    <row r="173" spans="1:57" x14ac:dyDescent="0.25">
      <c r="A173" s="9">
        <v>167</v>
      </c>
      <c r="B173" s="48" t="s">
        <v>508</v>
      </c>
      <c r="C173" s="49" t="s">
        <v>523</v>
      </c>
      <c r="D173" s="6" t="s">
        <v>69</v>
      </c>
      <c r="E173" s="50" t="s">
        <v>72</v>
      </c>
      <c r="F173" s="51" t="s">
        <v>87</v>
      </c>
      <c r="G173" s="9"/>
      <c r="H173" s="9" t="s">
        <v>88</v>
      </c>
      <c r="I173" s="9" t="s">
        <v>151</v>
      </c>
      <c r="J173" s="10">
        <v>19</v>
      </c>
      <c r="K173" s="10" t="s">
        <v>96</v>
      </c>
      <c r="L173" s="13" t="s">
        <v>97</v>
      </c>
      <c r="M173" s="53" t="s">
        <v>273</v>
      </c>
      <c r="N173" s="9" t="s">
        <v>274</v>
      </c>
      <c r="O173" s="70"/>
      <c r="P173" s="13"/>
      <c r="Q173" s="10"/>
      <c r="R173" s="10"/>
      <c r="S173" s="10"/>
      <c r="T173" s="13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 t="s">
        <v>100</v>
      </c>
      <c r="AL173" s="10" t="s">
        <v>276</v>
      </c>
      <c r="AM173" s="9" t="s">
        <v>524</v>
      </c>
      <c r="AN173" s="10"/>
      <c r="AO173" s="72"/>
      <c r="AP173" s="72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</row>
    <row r="174" spans="1:57" x14ac:dyDescent="0.25">
      <c r="A174" s="9">
        <v>168</v>
      </c>
      <c r="B174" s="48" t="s">
        <v>508</v>
      </c>
      <c r="C174" s="49" t="s">
        <v>525</v>
      </c>
      <c r="D174" s="6" t="s">
        <v>69</v>
      </c>
      <c r="E174" s="50" t="s">
        <v>72</v>
      </c>
      <c r="F174" s="51" t="s">
        <v>87</v>
      </c>
      <c r="G174" s="9"/>
      <c r="H174" s="9" t="s">
        <v>88</v>
      </c>
      <c r="I174" s="9" t="s">
        <v>74</v>
      </c>
      <c r="J174" s="9">
        <v>122</v>
      </c>
      <c r="K174" s="10" t="s">
        <v>96</v>
      </c>
      <c r="L174" s="13" t="s">
        <v>97</v>
      </c>
      <c r="M174" s="53" t="s">
        <v>526</v>
      </c>
      <c r="N174" s="9" t="s">
        <v>527</v>
      </c>
      <c r="O174" s="70"/>
      <c r="P174" s="13"/>
      <c r="Q174" s="10"/>
      <c r="R174" s="10"/>
      <c r="S174" s="10"/>
      <c r="T174" s="13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 t="s">
        <v>100</v>
      </c>
      <c r="AL174" s="10"/>
      <c r="AM174" s="9" t="s">
        <v>528</v>
      </c>
      <c r="AN174" s="10" t="s">
        <v>296</v>
      </c>
      <c r="AO174" s="72"/>
      <c r="AP174" s="72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</row>
    <row r="175" spans="1:57" s="47" customFormat="1" x14ac:dyDescent="0.25">
      <c r="A175" s="41">
        <v>169</v>
      </c>
      <c r="B175" s="42" t="s">
        <v>508</v>
      </c>
      <c r="C175" s="43" t="s">
        <v>529</v>
      </c>
      <c r="D175" s="44" t="s">
        <v>69</v>
      </c>
      <c r="E175" s="45" t="s">
        <v>70</v>
      </c>
      <c r="F175" s="44" t="s">
        <v>70</v>
      </c>
      <c r="G175" s="44" t="s">
        <v>70</v>
      </c>
      <c r="H175" s="44" t="s">
        <v>70</v>
      </c>
      <c r="I175" s="44" t="s">
        <v>70</v>
      </c>
      <c r="J175" s="44" t="s">
        <v>70</v>
      </c>
      <c r="K175" s="44" t="s">
        <v>70</v>
      </c>
      <c r="L175" s="44" t="s">
        <v>70</v>
      </c>
      <c r="M175" s="45" t="s">
        <v>70</v>
      </c>
      <c r="N175" s="44" t="s">
        <v>70</v>
      </c>
      <c r="O175" s="67"/>
      <c r="P175" s="46"/>
      <c r="Q175" s="41"/>
      <c r="R175" s="41"/>
      <c r="S175" s="41"/>
      <c r="T175" s="46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72"/>
      <c r="AP175" s="72"/>
      <c r="AQ175" s="41"/>
      <c r="AR175" s="41"/>
      <c r="AS175" s="41"/>
      <c r="AT175" s="41"/>
      <c r="AU175" s="41"/>
      <c r="AV175" s="41"/>
      <c r="AW175" s="41"/>
      <c r="AX175" s="41"/>
      <c r="AY175" s="10"/>
      <c r="AZ175" s="41"/>
      <c r="BA175" s="41"/>
      <c r="BB175" s="41"/>
      <c r="BC175" s="41"/>
      <c r="BD175" s="41"/>
      <c r="BE175" s="41"/>
    </row>
    <row r="176" spans="1:57" x14ac:dyDescent="0.25">
      <c r="A176" s="9">
        <v>170</v>
      </c>
      <c r="B176" s="48" t="s">
        <v>508</v>
      </c>
      <c r="C176" s="49" t="s">
        <v>530</v>
      </c>
      <c r="D176" s="6" t="s">
        <v>69</v>
      </c>
      <c r="E176" s="50" t="s">
        <v>72</v>
      </c>
      <c r="F176" s="51" t="s">
        <v>87</v>
      </c>
      <c r="G176" s="9"/>
      <c r="H176" s="9" t="s">
        <v>292</v>
      </c>
      <c r="I176" s="9" t="s">
        <v>74</v>
      </c>
      <c r="J176" s="9">
        <v>241</v>
      </c>
      <c r="K176" s="10" t="s">
        <v>96</v>
      </c>
      <c r="L176" s="13" t="s">
        <v>97</v>
      </c>
      <c r="M176" s="53" t="s">
        <v>519</v>
      </c>
      <c r="N176" s="9" t="s">
        <v>531</v>
      </c>
      <c r="O176" s="70"/>
      <c r="P176" s="13"/>
      <c r="Q176" s="10"/>
      <c r="R176" s="10"/>
      <c r="S176" s="10"/>
      <c r="T176" s="13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 t="s">
        <v>100</v>
      </c>
      <c r="AL176" s="10"/>
      <c r="AM176" s="9" t="s">
        <v>532</v>
      </c>
      <c r="AN176" s="81" t="s">
        <v>282</v>
      </c>
      <c r="AO176" s="72"/>
      <c r="AP176" s="72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</row>
    <row r="177" spans="1:57" x14ac:dyDescent="0.25">
      <c r="A177" s="9">
        <v>171</v>
      </c>
      <c r="B177" s="48" t="s">
        <v>508</v>
      </c>
      <c r="C177" s="49" t="s">
        <v>533</v>
      </c>
      <c r="D177" s="6" t="s">
        <v>69</v>
      </c>
      <c r="E177" s="50" t="s">
        <v>72</v>
      </c>
      <c r="F177" s="51" t="s">
        <v>87</v>
      </c>
      <c r="G177" s="9"/>
      <c r="H177" s="9" t="s">
        <v>88</v>
      </c>
      <c r="I177" s="9">
        <v>9953391</v>
      </c>
      <c r="J177" s="10">
        <v>19</v>
      </c>
      <c r="K177" s="10" t="s">
        <v>96</v>
      </c>
      <c r="L177" s="13" t="s">
        <v>97</v>
      </c>
      <c r="M177" s="53" t="s">
        <v>421</v>
      </c>
      <c r="N177" s="9" t="s">
        <v>534</v>
      </c>
      <c r="O177" s="70"/>
      <c r="P177" s="13"/>
      <c r="Q177" s="10"/>
      <c r="R177" s="10"/>
      <c r="S177" s="10"/>
      <c r="T177" s="13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 t="s">
        <v>100</v>
      </c>
      <c r="AL177" s="10"/>
      <c r="AM177" s="9" t="s">
        <v>535</v>
      </c>
      <c r="AN177" s="10" t="s">
        <v>165</v>
      </c>
      <c r="AO177" s="72">
        <v>46283</v>
      </c>
      <c r="AP177" s="72">
        <v>46283</v>
      </c>
      <c r="AQ177" s="10">
        <v>22</v>
      </c>
      <c r="AR177" s="10" t="s">
        <v>103</v>
      </c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</row>
    <row r="178" spans="1:57" x14ac:dyDescent="0.25">
      <c r="A178" s="9">
        <v>172</v>
      </c>
      <c r="B178" s="48" t="s">
        <v>508</v>
      </c>
      <c r="C178" s="49" t="s">
        <v>536</v>
      </c>
      <c r="D178" s="6" t="s">
        <v>69</v>
      </c>
      <c r="E178" s="50" t="s">
        <v>72</v>
      </c>
      <c r="F178" s="51" t="s">
        <v>87</v>
      </c>
      <c r="G178" s="9"/>
      <c r="H178" s="9" t="s">
        <v>292</v>
      </c>
      <c r="I178" s="9" t="s">
        <v>74</v>
      </c>
      <c r="J178" s="9">
        <v>31</v>
      </c>
      <c r="K178" s="10" t="s">
        <v>96</v>
      </c>
      <c r="L178" s="13" t="s">
        <v>97</v>
      </c>
      <c r="M178" s="53" t="s">
        <v>519</v>
      </c>
      <c r="N178" s="9" t="s">
        <v>537</v>
      </c>
      <c r="O178" s="70"/>
      <c r="P178" s="13"/>
      <c r="Q178" s="10"/>
      <c r="R178" s="10"/>
      <c r="S178" s="10"/>
      <c r="T178" s="13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 t="s">
        <v>100</v>
      </c>
      <c r="AL178" s="10"/>
      <c r="AM178" s="9" t="s">
        <v>538</v>
      </c>
      <c r="AN178" s="10" t="s">
        <v>282</v>
      </c>
      <c r="AO178" s="72">
        <v>46282</v>
      </c>
      <c r="AP178" s="72"/>
      <c r="AQ178" s="10">
        <v>64</v>
      </c>
      <c r="AR178" s="10" t="s">
        <v>393</v>
      </c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</row>
    <row r="179" spans="1:57" x14ac:dyDescent="0.25">
      <c r="A179" s="9">
        <v>173</v>
      </c>
      <c r="B179" s="48" t="s">
        <v>508</v>
      </c>
      <c r="C179" s="49" t="s">
        <v>539</v>
      </c>
      <c r="D179" s="6" t="s">
        <v>69</v>
      </c>
      <c r="E179" s="50" t="s">
        <v>72</v>
      </c>
      <c r="F179" s="51" t="s">
        <v>87</v>
      </c>
      <c r="G179" s="9"/>
      <c r="H179" s="9">
        <v>4193</v>
      </c>
      <c r="I179" s="9" t="s">
        <v>74</v>
      </c>
      <c r="J179" s="9">
        <v>135</v>
      </c>
      <c r="K179" s="10" t="s">
        <v>96</v>
      </c>
      <c r="L179" s="13" t="s">
        <v>97</v>
      </c>
      <c r="M179" s="53" t="s">
        <v>540</v>
      </c>
      <c r="N179" s="9" t="s">
        <v>541</v>
      </c>
      <c r="O179" s="70"/>
      <c r="P179" s="13"/>
      <c r="Q179" s="10"/>
      <c r="R179" s="10"/>
      <c r="S179" s="10"/>
      <c r="T179" s="13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9" t="s">
        <v>100</v>
      </c>
      <c r="AL179" s="10"/>
      <c r="AM179" s="9" t="s">
        <v>542</v>
      </c>
      <c r="AN179" s="10" t="s">
        <v>206</v>
      </c>
      <c r="AO179" s="72">
        <v>46280</v>
      </c>
      <c r="AP179" s="72">
        <v>46280</v>
      </c>
      <c r="AQ179" s="10">
        <v>256</v>
      </c>
      <c r="AR179" s="10" t="s">
        <v>103</v>
      </c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</row>
    <row r="180" spans="1:57" x14ac:dyDescent="0.25">
      <c r="A180" s="9">
        <v>174</v>
      </c>
      <c r="B180" s="48" t="s">
        <v>508</v>
      </c>
      <c r="C180" s="49" t="s">
        <v>543</v>
      </c>
      <c r="D180" s="6" t="s">
        <v>69</v>
      </c>
      <c r="E180" s="50" t="s">
        <v>72</v>
      </c>
      <c r="F180" s="51" t="s">
        <v>87</v>
      </c>
      <c r="G180" s="9"/>
      <c r="H180" s="9" t="s">
        <v>427</v>
      </c>
      <c r="I180" s="9" t="s">
        <v>74</v>
      </c>
      <c r="J180" s="9">
        <v>83</v>
      </c>
      <c r="K180" s="10" t="s">
        <v>96</v>
      </c>
      <c r="L180" s="13" t="s">
        <v>97</v>
      </c>
      <c r="M180" s="53" t="s">
        <v>544</v>
      </c>
      <c r="N180" s="9" t="s">
        <v>545</v>
      </c>
      <c r="O180" s="70"/>
      <c r="P180" s="13"/>
      <c r="Q180" s="10"/>
      <c r="R180" s="10"/>
      <c r="S180" s="10"/>
      <c r="T180" s="13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 t="s">
        <v>100</v>
      </c>
      <c r="AL180" s="10"/>
      <c r="AM180" s="9" t="s">
        <v>546</v>
      </c>
      <c r="AN180" s="10" t="s">
        <v>206</v>
      </c>
      <c r="AO180" s="72">
        <v>46281</v>
      </c>
      <c r="AP180" s="72">
        <v>46281</v>
      </c>
      <c r="AQ180" s="10">
        <v>146</v>
      </c>
      <c r="AR180" s="10" t="s">
        <v>103</v>
      </c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</row>
    <row r="181" spans="1:57" x14ac:dyDescent="0.25">
      <c r="A181" s="9">
        <v>175</v>
      </c>
      <c r="B181" s="48" t="s">
        <v>508</v>
      </c>
      <c r="C181" s="49" t="s">
        <v>547</v>
      </c>
      <c r="D181" s="6" t="s">
        <v>69</v>
      </c>
      <c r="E181" s="50" t="s">
        <v>72</v>
      </c>
      <c r="F181" s="51" t="s">
        <v>87</v>
      </c>
      <c r="G181" s="9"/>
      <c r="H181" s="9" t="s">
        <v>88</v>
      </c>
      <c r="I181" s="9" t="s">
        <v>151</v>
      </c>
      <c r="J181" s="10">
        <v>16</v>
      </c>
      <c r="K181" s="10" t="s">
        <v>89</v>
      </c>
      <c r="L181" s="13" t="s">
        <v>76</v>
      </c>
      <c r="M181" s="7" t="s">
        <v>548</v>
      </c>
      <c r="N181" s="9" t="s">
        <v>549</v>
      </c>
      <c r="O181" s="70"/>
      <c r="P181" s="13"/>
      <c r="Q181" s="10"/>
      <c r="R181" s="10"/>
      <c r="S181" s="10"/>
      <c r="T181" s="13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72"/>
      <c r="AP181" s="72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</row>
    <row r="182" spans="1:57" x14ac:dyDescent="0.25">
      <c r="A182" s="9">
        <v>176</v>
      </c>
      <c r="B182" s="48" t="s">
        <v>508</v>
      </c>
      <c r="C182" s="49" t="s">
        <v>550</v>
      </c>
      <c r="D182" s="6" t="s">
        <v>69</v>
      </c>
      <c r="E182" s="50" t="s">
        <v>72</v>
      </c>
      <c r="F182" s="51" t="s">
        <v>87</v>
      </c>
      <c r="G182" s="9"/>
      <c r="H182" s="9">
        <v>4193</v>
      </c>
      <c r="I182" s="9">
        <v>9953391</v>
      </c>
      <c r="J182" s="10">
        <v>1</v>
      </c>
      <c r="K182" s="10" t="s">
        <v>89</v>
      </c>
      <c r="L182" s="13" t="s">
        <v>76</v>
      </c>
      <c r="M182" s="53" t="s">
        <v>129</v>
      </c>
      <c r="N182" s="9" t="s">
        <v>551</v>
      </c>
      <c r="O182" s="70"/>
      <c r="P182" s="13"/>
      <c r="Q182" s="10"/>
      <c r="R182" s="10"/>
      <c r="S182" s="10"/>
      <c r="T182" s="13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72"/>
      <c r="AP182" s="72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</row>
    <row r="183" spans="1:57" x14ac:dyDescent="0.25">
      <c r="A183" s="9">
        <v>177</v>
      </c>
      <c r="B183" s="48" t="s">
        <v>508</v>
      </c>
      <c r="C183" s="49" t="s">
        <v>552</v>
      </c>
      <c r="D183" s="6" t="s">
        <v>69</v>
      </c>
      <c r="E183" s="50" t="s">
        <v>72</v>
      </c>
      <c r="F183" s="51" t="s">
        <v>87</v>
      </c>
      <c r="G183" s="9"/>
      <c r="H183" s="9">
        <v>4193</v>
      </c>
      <c r="I183" s="9">
        <v>9953391</v>
      </c>
      <c r="J183" s="10">
        <v>1</v>
      </c>
      <c r="K183" s="10" t="s">
        <v>89</v>
      </c>
      <c r="L183" s="13" t="s">
        <v>76</v>
      </c>
      <c r="M183" s="53" t="s">
        <v>167</v>
      </c>
      <c r="N183" s="9" t="s">
        <v>553</v>
      </c>
      <c r="O183" s="70"/>
      <c r="P183" s="13"/>
      <c r="Q183" s="10"/>
      <c r="R183" s="10"/>
      <c r="S183" s="10"/>
      <c r="T183" s="13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72"/>
      <c r="AP183" s="72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</row>
    <row r="184" spans="1:57" x14ac:dyDescent="0.25">
      <c r="A184" s="9">
        <v>178</v>
      </c>
      <c r="B184" s="48" t="s">
        <v>508</v>
      </c>
      <c r="C184" s="49" t="s">
        <v>554</v>
      </c>
      <c r="D184" s="6" t="s">
        <v>69</v>
      </c>
      <c r="E184" s="50" t="s">
        <v>72</v>
      </c>
      <c r="F184" s="51" t="s">
        <v>87</v>
      </c>
      <c r="G184" s="9"/>
      <c r="H184" s="9">
        <v>4193</v>
      </c>
      <c r="I184" s="9">
        <v>9953391</v>
      </c>
      <c r="J184" s="10">
        <v>1</v>
      </c>
      <c r="K184" s="10" t="s">
        <v>89</v>
      </c>
      <c r="L184" s="13" t="s">
        <v>76</v>
      </c>
      <c r="M184" s="53" t="s">
        <v>421</v>
      </c>
      <c r="N184" s="9" t="s">
        <v>555</v>
      </c>
      <c r="O184" s="70"/>
      <c r="P184" s="13"/>
      <c r="Q184" s="10"/>
      <c r="R184" s="10"/>
      <c r="S184" s="10"/>
      <c r="T184" s="13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72"/>
      <c r="AP184" s="72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</row>
    <row r="185" spans="1:57" x14ac:dyDescent="0.25">
      <c r="A185" s="9">
        <v>179</v>
      </c>
      <c r="B185" s="48" t="s">
        <v>508</v>
      </c>
      <c r="C185" s="49" t="s">
        <v>556</v>
      </c>
      <c r="D185" s="6" t="s">
        <v>69</v>
      </c>
      <c r="E185" s="50" t="s">
        <v>72</v>
      </c>
      <c r="F185" s="51" t="s">
        <v>87</v>
      </c>
      <c r="G185" s="9"/>
      <c r="H185" s="9" t="s">
        <v>88</v>
      </c>
      <c r="I185" s="9">
        <v>9953391</v>
      </c>
      <c r="J185" s="10">
        <v>12</v>
      </c>
      <c r="K185" s="10" t="s">
        <v>96</v>
      </c>
      <c r="L185" s="13" t="s">
        <v>97</v>
      </c>
      <c r="M185" s="53" t="s">
        <v>421</v>
      </c>
      <c r="N185" s="3" t="s">
        <v>557</v>
      </c>
      <c r="O185" s="70"/>
      <c r="P185" s="13"/>
      <c r="Q185" s="10"/>
      <c r="R185" s="10"/>
      <c r="S185" s="10"/>
      <c r="T185" s="13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 t="s">
        <v>100</v>
      </c>
      <c r="AL185" s="10"/>
      <c r="AM185" s="9" t="s">
        <v>558</v>
      </c>
      <c r="AN185" s="10" t="s">
        <v>165</v>
      </c>
      <c r="AO185" s="72">
        <v>46283</v>
      </c>
      <c r="AP185" s="72">
        <v>46283</v>
      </c>
      <c r="AQ185" s="10">
        <v>49</v>
      </c>
      <c r="AR185" s="10" t="s">
        <v>103</v>
      </c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</row>
    <row r="186" spans="1:57" x14ac:dyDescent="0.25">
      <c r="A186" s="9">
        <v>180</v>
      </c>
      <c r="B186" s="48" t="s">
        <v>508</v>
      </c>
      <c r="C186" s="49" t="s">
        <v>559</v>
      </c>
      <c r="D186" s="6" t="s">
        <v>69</v>
      </c>
      <c r="E186" s="50" t="s">
        <v>72</v>
      </c>
      <c r="F186" s="51" t="s">
        <v>87</v>
      </c>
      <c r="G186" s="9"/>
      <c r="H186" s="9">
        <v>4193</v>
      </c>
      <c r="I186" s="9">
        <v>9953391</v>
      </c>
      <c r="J186" s="10">
        <v>1</v>
      </c>
      <c r="K186" s="10" t="s">
        <v>89</v>
      </c>
      <c r="L186" s="13" t="s">
        <v>76</v>
      </c>
      <c r="M186" s="53" t="s">
        <v>421</v>
      </c>
      <c r="N186" s="9" t="s">
        <v>560</v>
      </c>
      <c r="O186" s="70"/>
      <c r="P186" s="13"/>
      <c r="Q186" s="10"/>
      <c r="R186" s="10"/>
      <c r="S186" s="10"/>
      <c r="T186" s="13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72"/>
      <c r="AP186" s="72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</row>
    <row r="187" spans="1:57" x14ac:dyDescent="0.25">
      <c r="A187" s="9">
        <v>181</v>
      </c>
      <c r="B187" s="48" t="s">
        <v>508</v>
      </c>
      <c r="C187" s="49" t="s">
        <v>561</v>
      </c>
      <c r="D187" s="6" t="s">
        <v>69</v>
      </c>
      <c r="E187" s="50" t="s">
        <v>72</v>
      </c>
      <c r="F187" s="51" t="s">
        <v>87</v>
      </c>
      <c r="G187" s="9"/>
      <c r="H187" s="9" t="s">
        <v>116</v>
      </c>
      <c r="I187" s="9">
        <v>9953391</v>
      </c>
      <c r="J187" s="10">
        <v>10</v>
      </c>
      <c r="K187" s="10" t="s">
        <v>89</v>
      </c>
      <c r="L187" s="13" t="s">
        <v>76</v>
      </c>
      <c r="M187" s="53" t="s">
        <v>421</v>
      </c>
      <c r="N187" s="9" t="s">
        <v>562</v>
      </c>
      <c r="O187" s="70"/>
      <c r="P187" s="13"/>
      <c r="Q187" s="10"/>
      <c r="R187" s="10"/>
      <c r="S187" s="10"/>
      <c r="T187" s="13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72"/>
      <c r="AP187" s="72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</row>
    <row r="188" spans="1:57" x14ac:dyDescent="0.25">
      <c r="A188" s="9">
        <v>182</v>
      </c>
      <c r="B188" s="48" t="s">
        <v>508</v>
      </c>
      <c r="C188" s="49" t="s">
        <v>563</v>
      </c>
      <c r="D188" s="6" t="s">
        <v>69</v>
      </c>
      <c r="E188" s="50" t="s">
        <v>72</v>
      </c>
      <c r="F188" s="51" t="s">
        <v>87</v>
      </c>
      <c r="G188" s="9"/>
      <c r="H188" s="9" t="s">
        <v>116</v>
      </c>
      <c r="I188" s="9" t="s">
        <v>117</v>
      </c>
      <c r="J188" s="10">
        <v>5</v>
      </c>
      <c r="K188" s="10" t="s">
        <v>89</v>
      </c>
      <c r="L188" s="13" t="s">
        <v>76</v>
      </c>
      <c r="M188" s="53" t="s">
        <v>421</v>
      </c>
      <c r="N188" s="9" t="s">
        <v>564</v>
      </c>
      <c r="O188" s="70"/>
      <c r="P188" s="13"/>
      <c r="Q188" s="10"/>
      <c r="R188" s="10"/>
      <c r="S188" s="10"/>
      <c r="T188" s="13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72"/>
      <c r="AP188" s="72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</row>
    <row r="189" spans="1:57" x14ac:dyDescent="0.25">
      <c r="A189" s="9">
        <v>183</v>
      </c>
      <c r="B189" s="48" t="s">
        <v>565</v>
      </c>
      <c r="C189" s="49" t="s">
        <v>566</v>
      </c>
      <c r="D189" s="6" t="s">
        <v>69</v>
      </c>
      <c r="E189" s="50" t="s">
        <v>72</v>
      </c>
      <c r="F189" s="51" t="s">
        <v>87</v>
      </c>
      <c r="G189" s="9"/>
      <c r="H189" s="9" t="s">
        <v>292</v>
      </c>
      <c r="I189" s="9" t="s">
        <v>74</v>
      </c>
      <c r="J189" s="9">
        <v>146</v>
      </c>
      <c r="K189" s="10" t="s">
        <v>96</v>
      </c>
      <c r="L189" s="13" t="s">
        <v>97</v>
      </c>
      <c r="M189" s="53" t="s">
        <v>540</v>
      </c>
      <c r="N189" s="9" t="s">
        <v>567</v>
      </c>
      <c r="O189" s="70"/>
      <c r="P189" s="13"/>
      <c r="Q189" s="10"/>
      <c r="R189" s="10"/>
      <c r="S189" s="10"/>
      <c r="T189" s="13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9" t="s">
        <v>100</v>
      </c>
      <c r="AL189" s="10"/>
      <c r="AM189" s="9" t="s">
        <v>568</v>
      </c>
      <c r="AN189" s="10" t="s">
        <v>206</v>
      </c>
      <c r="AO189" s="72">
        <v>46280</v>
      </c>
      <c r="AP189" s="72">
        <v>46281</v>
      </c>
      <c r="AQ189" s="10">
        <v>627</v>
      </c>
      <c r="AR189" s="10" t="s">
        <v>103</v>
      </c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</row>
    <row r="190" spans="1:57" x14ac:dyDescent="0.25">
      <c r="A190" s="9">
        <v>184</v>
      </c>
      <c r="B190" s="48" t="s">
        <v>565</v>
      </c>
      <c r="C190" s="49" t="s">
        <v>569</v>
      </c>
      <c r="D190" s="6" t="s">
        <v>69</v>
      </c>
      <c r="E190" s="50" t="s">
        <v>72</v>
      </c>
      <c r="F190" s="51" t="s">
        <v>87</v>
      </c>
      <c r="G190" s="9"/>
      <c r="H190" s="9" t="s">
        <v>292</v>
      </c>
      <c r="I190" s="9" t="s">
        <v>74</v>
      </c>
      <c r="J190" s="9">
        <v>17</v>
      </c>
      <c r="K190" s="10" t="s">
        <v>96</v>
      </c>
      <c r="L190" s="13" t="s">
        <v>97</v>
      </c>
      <c r="M190" s="53" t="s">
        <v>540</v>
      </c>
      <c r="N190" s="9" t="s">
        <v>570</v>
      </c>
      <c r="O190" s="70"/>
      <c r="P190" s="13"/>
      <c r="Q190" s="10"/>
      <c r="R190" s="10"/>
      <c r="S190" s="10"/>
      <c r="T190" s="13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9" t="s">
        <v>100</v>
      </c>
      <c r="AL190" s="10"/>
      <c r="AM190" s="9" t="s">
        <v>571</v>
      </c>
      <c r="AN190" s="10" t="s">
        <v>206</v>
      </c>
      <c r="AO190" s="72">
        <v>46281</v>
      </c>
      <c r="AP190" s="72">
        <v>46281</v>
      </c>
      <c r="AQ190" s="10">
        <v>67</v>
      </c>
      <c r="AR190" s="10" t="s">
        <v>103</v>
      </c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</row>
    <row r="191" spans="1:57" x14ac:dyDescent="0.25">
      <c r="A191" s="9">
        <v>185</v>
      </c>
      <c r="B191" s="48" t="s">
        <v>565</v>
      </c>
      <c r="C191" s="49" t="s">
        <v>572</v>
      </c>
      <c r="D191" s="6" t="s">
        <v>69</v>
      </c>
      <c r="E191" s="50" t="s">
        <v>72</v>
      </c>
      <c r="F191" s="51" t="s">
        <v>87</v>
      </c>
      <c r="G191" s="9"/>
      <c r="H191" s="9" t="s">
        <v>292</v>
      </c>
      <c r="I191" s="9" t="s">
        <v>74</v>
      </c>
      <c r="J191" s="9">
        <v>31</v>
      </c>
      <c r="K191" s="10" t="s">
        <v>89</v>
      </c>
      <c r="L191" s="13" t="s">
        <v>76</v>
      </c>
      <c r="M191" s="53" t="s">
        <v>540</v>
      </c>
      <c r="N191" s="9" t="s">
        <v>567</v>
      </c>
      <c r="O191" s="70"/>
      <c r="P191" s="13"/>
      <c r="Q191" s="10"/>
      <c r="R191" s="10"/>
      <c r="S191" s="10"/>
      <c r="T191" s="13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72"/>
      <c r="AP191" s="72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</row>
    <row r="192" spans="1:57" x14ac:dyDescent="0.25">
      <c r="A192" s="9">
        <v>186</v>
      </c>
      <c r="B192" s="48" t="s">
        <v>565</v>
      </c>
      <c r="C192" s="49" t="s">
        <v>573</v>
      </c>
      <c r="D192" s="6" t="s">
        <v>69</v>
      </c>
      <c r="E192" s="50" t="s">
        <v>72</v>
      </c>
      <c r="F192" s="51" t="s">
        <v>87</v>
      </c>
      <c r="G192" s="9"/>
      <c r="H192" s="9" t="s">
        <v>292</v>
      </c>
      <c r="I192" s="9" t="s">
        <v>74</v>
      </c>
      <c r="J192" s="9">
        <v>2</v>
      </c>
      <c r="K192" s="10" t="s">
        <v>89</v>
      </c>
      <c r="L192" s="13" t="s">
        <v>76</v>
      </c>
      <c r="M192" s="53" t="s">
        <v>540</v>
      </c>
      <c r="N192" s="9" t="s">
        <v>570</v>
      </c>
      <c r="O192" s="70"/>
      <c r="P192" s="13"/>
      <c r="Q192" s="10"/>
      <c r="R192" s="10"/>
      <c r="S192" s="10"/>
      <c r="T192" s="13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72"/>
      <c r="AP192" s="72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</row>
    <row r="193" spans="1:57" x14ac:dyDescent="0.25">
      <c r="A193" s="9">
        <v>187</v>
      </c>
      <c r="B193" s="48" t="s">
        <v>565</v>
      </c>
      <c r="C193" s="59" t="s">
        <v>574</v>
      </c>
      <c r="D193" s="6" t="s">
        <v>69</v>
      </c>
      <c r="E193" s="50" t="s">
        <v>72</v>
      </c>
      <c r="F193" s="51" t="s">
        <v>87</v>
      </c>
      <c r="G193" s="9"/>
      <c r="H193" s="9" t="s">
        <v>74</v>
      </c>
      <c r="I193" s="9" t="s">
        <v>74</v>
      </c>
      <c r="J193" s="9">
        <v>8</v>
      </c>
      <c r="K193" s="10" t="s">
        <v>96</v>
      </c>
      <c r="L193" s="13" t="s">
        <v>97</v>
      </c>
      <c r="M193" s="53" t="s">
        <v>540</v>
      </c>
      <c r="N193" s="9" t="s">
        <v>575</v>
      </c>
      <c r="O193" s="70"/>
      <c r="P193" s="13"/>
      <c r="Q193" s="10"/>
      <c r="R193" s="10"/>
      <c r="S193" s="10"/>
      <c r="T193" s="13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9" t="s">
        <v>100</v>
      </c>
      <c r="AL193" s="10"/>
      <c r="AM193" s="9">
        <v>5</v>
      </c>
      <c r="AN193" s="10" t="s">
        <v>206</v>
      </c>
      <c r="AO193" s="72"/>
      <c r="AP193" s="72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</row>
    <row r="194" spans="1:57" x14ac:dyDescent="0.25">
      <c r="A194" s="9">
        <v>188</v>
      </c>
      <c r="B194" s="48" t="s">
        <v>565</v>
      </c>
      <c r="C194" s="49" t="s">
        <v>576</v>
      </c>
      <c r="D194" s="6" t="s">
        <v>69</v>
      </c>
      <c r="E194" s="50" t="s">
        <v>72</v>
      </c>
      <c r="F194" s="51" t="s">
        <v>87</v>
      </c>
      <c r="G194" s="9"/>
      <c r="H194" s="9" t="s">
        <v>74</v>
      </c>
      <c r="I194" s="9" t="s">
        <v>74</v>
      </c>
      <c r="J194" s="9">
        <v>18</v>
      </c>
      <c r="K194" s="10" t="s">
        <v>96</v>
      </c>
      <c r="L194" s="13" t="s">
        <v>97</v>
      </c>
      <c r="M194" s="53" t="s">
        <v>540</v>
      </c>
      <c r="N194" s="9" t="s">
        <v>577</v>
      </c>
      <c r="O194" s="70"/>
      <c r="P194" s="13"/>
      <c r="Q194" s="10"/>
      <c r="R194" s="10"/>
      <c r="S194" s="10"/>
      <c r="T194" s="13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9" t="s">
        <v>100</v>
      </c>
      <c r="AL194" s="10"/>
      <c r="AM194" s="9" t="s">
        <v>578</v>
      </c>
      <c r="AN194" s="10" t="s">
        <v>206</v>
      </c>
      <c r="AO194" s="72"/>
      <c r="AP194" s="72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</row>
    <row r="195" spans="1:57" x14ac:dyDescent="0.25">
      <c r="A195" s="9">
        <v>189</v>
      </c>
      <c r="B195" s="48" t="s">
        <v>565</v>
      </c>
      <c r="C195" s="49" t="s">
        <v>579</v>
      </c>
      <c r="D195" s="6" t="s">
        <v>69</v>
      </c>
      <c r="E195" s="50" t="s">
        <v>72</v>
      </c>
      <c r="F195" s="51" t="s">
        <v>87</v>
      </c>
      <c r="G195" s="9"/>
      <c r="H195" s="9" t="s">
        <v>74</v>
      </c>
      <c r="I195" s="9" t="s">
        <v>74</v>
      </c>
      <c r="J195" s="9">
        <v>27</v>
      </c>
      <c r="K195" s="10" t="s">
        <v>96</v>
      </c>
      <c r="L195" s="13" t="s">
        <v>97</v>
      </c>
      <c r="M195" s="53" t="s">
        <v>540</v>
      </c>
      <c r="N195" s="9" t="s">
        <v>580</v>
      </c>
      <c r="O195" s="70"/>
      <c r="P195" s="13"/>
      <c r="Q195" s="10"/>
      <c r="R195" s="10"/>
      <c r="S195" s="10"/>
      <c r="T195" s="13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9" t="s">
        <v>100</v>
      </c>
      <c r="AL195" s="10"/>
      <c r="AM195" s="9" t="s">
        <v>581</v>
      </c>
      <c r="AN195" s="10" t="s">
        <v>206</v>
      </c>
      <c r="AO195" s="72"/>
      <c r="AP195" s="72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</row>
    <row r="196" spans="1:57" x14ac:dyDescent="0.25">
      <c r="A196" s="9">
        <v>190</v>
      </c>
      <c r="B196" s="48" t="s">
        <v>565</v>
      </c>
      <c r="C196" s="49" t="s">
        <v>582</v>
      </c>
      <c r="D196" s="6" t="s">
        <v>69</v>
      </c>
      <c r="E196" s="50" t="s">
        <v>72</v>
      </c>
      <c r="F196" s="51" t="s">
        <v>87</v>
      </c>
      <c r="G196" s="9"/>
      <c r="H196" s="9" t="s">
        <v>74</v>
      </c>
      <c r="I196" s="9" t="s">
        <v>74</v>
      </c>
      <c r="J196" s="9">
        <v>16</v>
      </c>
      <c r="K196" s="10" t="s">
        <v>96</v>
      </c>
      <c r="L196" s="13" t="s">
        <v>97</v>
      </c>
      <c r="M196" s="53" t="s">
        <v>540</v>
      </c>
      <c r="N196" s="9" t="s">
        <v>583</v>
      </c>
      <c r="O196" s="70"/>
      <c r="P196" s="13"/>
      <c r="Q196" s="10"/>
      <c r="R196" s="10"/>
      <c r="S196" s="10"/>
      <c r="T196" s="13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9" t="s">
        <v>100</v>
      </c>
      <c r="AL196" s="10"/>
      <c r="AM196" s="9" t="s">
        <v>584</v>
      </c>
      <c r="AN196" s="10" t="s">
        <v>206</v>
      </c>
      <c r="AO196" s="72"/>
      <c r="AP196" s="72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</row>
    <row r="197" spans="1:57" x14ac:dyDescent="0.25">
      <c r="A197" s="9">
        <v>191</v>
      </c>
      <c r="B197" s="48" t="s">
        <v>565</v>
      </c>
      <c r="C197" s="49" t="s">
        <v>585</v>
      </c>
      <c r="D197" s="6" t="s">
        <v>69</v>
      </c>
      <c r="E197" s="50" t="s">
        <v>72</v>
      </c>
      <c r="F197" s="51" t="s">
        <v>87</v>
      </c>
      <c r="G197" s="9"/>
      <c r="H197" s="9" t="s">
        <v>74</v>
      </c>
      <c r="I197" s="9" t="s">
        <v>74</v>
      </c>
      <c r="J197" s="9">
        <v>13</v>
      </c>
      <c r="K197" s="10" t="s">
        <v>96</v>
      </c>
      <c r="L197" s="13" t="s">
        <v>97</v>
      </c>
      <c r="M197" s="53" t="s">
        <v>540</v>
      </c>
      <c r="N197" s="9" t="s">
        <v>586</v>
      </c>
      <c r="O197" s="70"/>
      <c r="P197" s="13"/>
      <c r="Q197" s="10"/>
      <c r="R197" s="10"/>
      <c r="S197" s="10"/>
      <c r="T197" s="13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9" t="s">
        <v>100</v>
      </c>
      <c r="AL197" s="10"/>
      <c r="AM197" s="9">
        <v>12</v>
      </c>
      <c r="AN197" s="10" t="s">
        <v>206</v>
      </c>
      <c r="AO197" s="72"/>
      <c r="AP197" s="72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</row>
    <row r="198" spans="1:57" x14ac:dyDescent="0.25">
      <c r="A198" s="9">
        <v>192</v>
      </c>
      <c r="B198" s="48" t="s">
        <v>565</v>
      </c>
      <c r="C198" s="49" t="s">
        <v>587</v>
      </c>
      <c r="D198" s="6" t="s">
        <v>69</v>
      </c>
      <c r="E198" s="50" t="s">
        <v>72</v>
      </c>
      <c r="F198" s="51" t="s">
        <v>87</v>
      </c>
      <c r="G198" s="9"/>
      <c r="H198" s="9" t="s">
        <v>74</v>
      </c>
      <c r="I198" s="9" t="s">
        <v>74</v>
      </c>
      <c r="J198" s="9">
        <v>47</v>
      </c>
      <c r="K198" s="10" t="s">
        <v>96</v>
      </c>
      <c r="L198" s="13" t="s">
        <v>97</v>
      </c>
      <c r="M198" s="53" t="s">
        <v>540</v>
      </c>
      <c r="N198" s="9" t="s">
        <v>588</v>
      </c>
      <c r="O198" s="70"/>
      <c r="P198" s="13"/>
      <c r="Q198" s="10"/>
      <c r="R198" s="10"/>
      <c r="S198" s="10"/>
      <c r="T198" s="13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9" t="s">
        <v>100</v>
      </c>
      <c r="AL198" s="10"/>
      <c r="AM198" s="9" t="s">
        <v>589</v>
      </c>
      <c r="AN198" s="10" t="s">
        <v>206</v>
      </c>
      <c r="AO198" s="72"/>
      <c r="AP198" s="72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</row>
    <row r="199" spans="1:57" x14ac:dyDescent="0.25">
      <c r="A199" s="9">
        <v>193</v>
      </c>
      <c r="B199" s="48" t="s">
        <v>565</v>
      </c>
      <c r="C199" s="49" t="s">
        <v>590</v>
      </c>
      <c r="D199" s="6" t="s">
        <v>69</v>
      </c>
      <c r="E199" s="50" t="s">
        <v>72</v>
      </c>
      <c r="F199" s="51" t="s">
        <v>87</v>
      </c>
      <c r="G199" s="9"/>
      <c r="H199" s="9" t="s">
        <v>74</v>
      </c>
      <c r="I199" s="9" t="s">
        <v>74</v>
      </c>
      <c r="J199" s="9">
        <v>20</v>
      </c>
      <c r="K199" s="10" t="s">
        <v>96</v>
      </c>
      <c r="L199" s="13" t="s">
        <v>97</v>
      </c>
      <c r="M199" s="53" t="s">
        <v>540</v>
      </c>
      <c r="N199" s="9" t="s">
        <v>588</v>
      </c>
      <c r="O199" s="70"/>
      <c r="P199" s="13"/>
      <c r="Q199" s="10"/>
      <c r="R199" s="10"/>
      <c r="S199" s="10"/>
      <c r="T199" s="13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9" t="s">
        <v>100</v>
      </c>
      <c r="AL199" s="10"/>
      <c r="AM199" s="9" t="s">
        <v>591</v>
      </c>
      <c r="AN199" s="10" t="s">
        <v>206</v>
      </c>
      <c r="AO199" s="72"/>
      <c r="AP199" s="72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</row>
    <row r="200" spans="1:57" x14ac:dyDescent="0.25">
      <c r="A200" s="9">
        <v>194</v>
      </c>
      <c r="B200" s="48" t="s">
        <v>592</v>
      </c>
      <c r="C200" s="49" t="s">
        <v>593</v>
      </c>
      <c r="D200" s="6" t="s">
        <v>69</v>
      </c>
      <c r="E200" s="50" t="s">
        <v>72</v>
      </c>
      <c r="F200" s="51" t="s">
        <v>87</v>
      </c>
      <c r="G200" s="9"/>
      <c r="H200" s="9" t="s">
        <v>412</v>
      </c>
      <c r="I200" s="9">
        <v>9953391</v>
      </c>
      <c r="J200" s="10">
        <v>10</v>
      </c>
      <c r="K200" s="10" t="s">
        <v>89</v>
      </c>
      <c r="L200" s="13" t="s">
        <v>76</v>
      </c>
      <c r="M200" s="53" t="s">
        <v>129</v>
      </c>
      <c r="N200" s="9" t="s">
        <v>594</v>
      </c>
      <c r="O200" s="70"/>
      <c r="P200" s="13"/>
      <c r="Q200" s="10"/>
      <c r="R200" s="10"/>
      <c r="S200" s="10"/>
      <c r="T200" s="13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72"/>
      <c r="AP200" s="72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</row>
    <row r="201" spans="1:57" x14ac:dyDescent="0.25">
      <c r="A201" s="9">
        <v>195</v>
      </c>
      <c r="B201" s="48" t="s">
        <v>592</v>
      </c>
      <c r="C201" s="69" t="s">
        <v>595</v>
      </c>
      <c r="D201" s="6" t="s">
        <v>69</v>
      </c>
      <c r="E201" s="50" t="s">
        <v>72</v>
      </c>
      <c r="F201" s="51" t="s">
        <v>87</v>
      </c>
      <c r="G201" s="9"/>
      <c r="H201" s="9" t="s">
        <v>88</v>
      </c>
      <c r="I201" s="9">
        <v>9953391</v>
      </c>
      <c r="J201" s="10">
        <v>10</v>
      </c>
      <c r="K201" s="11" t="s">
        <v>89</v>
      </c>
      <c r="L201" s="12" t="s">
        <v>76</v>
      </c>
      <c r="M201" s="53" t="s">
        <v>596</v>
      </c>
      <c r="N201" s="9" t="s">
        <v>597</v>
      </c>
      <c r="O201" s="70"/>
      <c r="P201" s="13"/>
      <c r="Q201" s="10"/>
      <c r="R201" s="10"/>
      <c r="S201" s="10"/>
      <c r="T201" s="13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 t="s">
        <v>241</v>
      </c>
      <c r="AM201" s="10"/>
      <c r="AN201" s="10"/>
      <c r="AO201" s="72"/>
      <c r="AP201" s="72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</row>
    <row r="202" spans="1:57" x14ac:dyDescent="0.25">
      <c r="A202" s="9">
        <v>196</v>
      </c>
      <c r="B202" s="48" t="s">
        <v>592</v>
      </c>
      <c r="C202" s="69" t="s">
        <v>598</v>
      </c>
      <c r="D202" s="6" t="s">
        <v>69</v>
      </c>
      <c r="E202" s="50" t="s">
        <v>72</v>
      </c>
      <c r="F202" s="51" t="s">
        <v>87</v>
      </c>
      <c r="G202" s="9"/>
      <c r="H202" s="9" t="s">
        <v>88</v>
      </c>
      <c r="I202" s="9" t="s">
        <v>151</v>
      </c>
      <c r="J202" s="10">
        <v>12</v>
      </c>
      <c r="K202" s="11" t="s">
        <v>89</v>
      </c>
      <c r="L202" s="12" t="s">
        <v>76</v>
      </c>
      <c r="M202" s="70" t="s">
        <v>326</v>
      </c>
      <c r="N202" s="9" t="s">
        <v>599</v>
      </c>
      <c r="O202" s="70"/>
      <c r="P202" s="13"/>
      <c r="Q202" s="10"/>
      <c r="R202" s="10"/>
      <c r="S202" s="10"/>
      <c r="T202" s="13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 t="s">
        <v>241</v>
      </c>
      <c r="AM202" s="10"/>
      <c r="AN202" s="10"/>
      <c r="AO202" s="72"/>
      <c r="AP202" s="72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</row>
    <row r="203" spans="1:57" x14ac:dyDescent="0.25">
      <c r="A203" s="9">
        <v>197</v>
      </c>
      <c r="B203" s="48" t="s">
        <v>592</v>
      </c>
      <c r="C203" s="69" t="s">
        <v>600</v>
      </c>
      <c r="D203" s="6" t="s">
        <v>69</v>
      </c>
      <c r="E203" s="50" t="s">
        <v>72</v>
      </c>
      <c r="F203" s="51" t="s">
        <v>87</v>
      </c>
      <c r="G203" s="9"/>
      <c r="H203" s="9" t="s">
        <v>88</v>
      </c>
      <c r="I203" s="9">
        <v>9953391</v>
      </c>
      <c r="J203" s="10">
        <v>14</v>
      </c>
      <c r="K203" s="11" t="s">
        <v>89</v>
      </c>
      <c r="L203" s="12" t="s">
        <v>76</v>
      </c>
      <c r="M203" s="53" t="s">
        <v>167</v>
      </c>
      <c r="N203" s="9" t="s">
        <v>601</v>
      </c>
      <c r="O203" s="70"/>
      <c r="P203" s="13"/>
      <c r="Q203" s="10"/>
      <c r="R203" s="10"/>
      <c r="S203" s="10"/>
      <c r="T203" s="13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 t="s">
        <v>241</v>
      </c>
      <c r="AM203" s="10"/>
      <c r="AN203" s="10"/>
      <c r="AO203" s="72"/>
      <c r="AP203" s="72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</row>
    <row r="204" spans="1:57" x14ac:dyDescent="0.25">
      <c r="A204" s="9">
        <v>198</v>
      </c>
      <c r="B204" s="48" t="s">
        <v>592</v>
      </c>
      <c r="C204" s="49" t="s">
        <v>602</v>
      </c>
      <c r="D204" s="6" t="s">
        <v>69</v>
      </c>
      <c r="E204" s="50" t="s">
        <v>72</v>
      </c>
      <c r="F204" s="51" t="s">
        <v>87</v>
      </c>
      <c r="G204" s="9"/>
      <c r="H204" s="9" t="s">
        <v>88</v>
      </c>
      <c r="I204" s="9">
        <v>9953391</v>
      </c>
      <c r="J204" s="10">
        <v>39</v>
      </c>
      <c r="K204" s="10" t="s">
        <v>96</v>
      </c>
      <c r="L204" s="13" t="s">
        <v>97</v>
      </c>
      <c r="M204" s="53" t="s">
        <v>603</v>
      </c>
      <c r="N204" s="9" t="s">
        <v>604</v>
      </c>
      <c r="O204" s="70"/>
      <c r="P204" s="13"/>
      <c r="Q204" s="10"/>
      <c r="R204" s="10"/>
      <c r="S204" s="10"/>
      <c r="T204" s="13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 t="s">
        <v>100</v>
      </c>
      <c r="AL204" s="10"/>
      <c r="AM204" s="9" t="s">
        <v>605</v>
      </c>
      <c r="AN204" s="10" t="s">
        <v>165</v>
      </c>
      <c r="AO204" s="72">
        <v>46282</v>
      </c>
      <c r="AP204" s="72">
        <v>46282</v>
      </c>
      <c r="AQ204" s="10">
        <v>243</v>
      </c>
      <c r="AR204" s="10" t="s">
        <v>103</v>
      </c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</row>
    <row r="205" spans="1:57" x14ac:dyDescent="0.25">
      <c r="A205" s="9">
        <v>199</v>
      </c>
      <c r="B205" s="48" t="s">
        <v>592</v>
      </c>
      <c r="C205" s="69" t="s">
        <v>606</v>
      </c>
      <c r="D205" s="6" t="s">
        <v>69</v>
      </c>
      <c r="E205" s="50" t="s">
        <v>72</v>
      </c>
      <c r="F205" s="51" t="s">
        <v>87</v>
      </c>
      <c r="G205" s="9"/>
      <c r="H205" s="9" t="s">
        <v>88</v>
      </c>
      <c r="I205" s="9">
        <v>9953391</v>
      </c>
      <c r="J205" s="10">
        <v>37</v>
      </c>
      <c r="K205" s="11" t="s">
        <v>89</v>
      </c>
      <c r="L205" s="12" t="s">
        <v>76</v>
      </c>
      <c r="M205" s="53" t="s">
        <v>167</v>
      </c>
      <c r="N205" s="9" t="s">
        <v>607</v>
      </c>
      <c r="O205" s="70"/>
      <c r="P205" s="13"/>
      <c r="Q205" s="10"/>
      <c r="R205" s="10"/>
      <c r="S205" s="10"/>
      <c r="T205" s="13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 t="s">
        <v>241</v>
      </c>
      <c r="AM205" s="10"/>
      <c r="AN205" s="10"/>
      <c r="AO205" s="72"/>
      <c r="AP205" s="72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</row>
    <row r="206" spans="1:57" x14ac:dyDescent="0.25">
      <c r="A206" s="9">
        <v>200</v>
      </c>
      <c r="B206" s="48" t="s">
        <v>592</v>
      </c>
      <c r="C206" s="69" t="s">
        <v>608</v>
      </c>
      <c r="D206" s="6" t="s">
        <v>69</v>
      </c>
      <c r="E206" s="50" t="s">
        <v>72</v>
      </c>
      <c r="F206" s="51" t="s">
        <v>87</v>
      </c>
      <c r="G206" s="9"/>
      <c r="H206" s="9" t="s">
        <v>88</v>
      </c>
      <c r="I206" s="9">
        <v>9953391</v>
      </c>
      <c r="J206" s="10">
        <v>42</v>
      </c>
      <c r="K206" s="11" t="s">
        <v>89</v>
      </c>
      <c r="L206" s="12" t="s">
        <v>76</v>
      </c>
      <c r="M206" s="53" t="s">
        <v>609</v>
      </c>
      <c r="N206" s="9" t="s">
        <v>610</v>
      </c>
      <c r="O206" s="70"/>
      <c r="P206" s="13"/>
      <c r="Q206" s="10"/>
      <c r="R206" s="10"/>
      <c r="S206" s="10"/>
      <c r="T206" s="13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 t="s">
        <v>241</v>
      </c>
      <c r="AM206" s="10"/>
      <c r="AN206" s="10"/>
      <c r="AO206" s="72"/>
      <c r="AP206" s="72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</row>
    <row r="207" spans="1:57" x14ac:dyDescent="0.25">
      <c r="A207" s="9">
        <v>201</v>
      </c>
      <c r="B207" s="48" t="s">
        <v>592</v>
      </c>
      <c r="C207" s="69" t="s">
        <v>611</v>
      </c>
      <c r="D207" s="6" t="s">
        <v>69</v>
      </c>
      <c r="E207" s="50" t="s">
        <v>72</v>
      </c>
      <c r="F207" s="51" t="s">
        <v>87</v>
      </c>
      <c r="G207" s="9"/>
      <c r="H207" s="9" t="s">
        <v>88</v>
      </c>
      <c r="I207" s="9">
        <v>9953391</v>
      </c>
      <c r="J207" s="10">
        <v>23</v>
      </c>
      <c r="K207" s="11" t="s">
        <v>89</v>
      </c>
      <c r="L207" s="12" t="s">
        <v>76</v>
      </c>
      <c r="M207" s="53" t="s">
        <v>612</v>
      </c>
      <c r="N207" s="9" t="s">
        <v>613</v>
      </c>
      <c r="O207" s="70"/>
      <c r="P207" s="13"/>
      <c r="Q207" s="10"/>
      <c r="R207" s="10"/>
      <c r="S207" s="10"/>
      <c r="T207" s="13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 t="s">
        <v>241</v>
      </c>
      <c r="AM207" s="10"/>
      <c r="AN207" s="10"/>
      <c r="AO207" s="72"/>
      <c r="AP207" s="72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</row>
    <row r="208" spans="1:57" x14ac:dyDescent="0.25">
      <c r="A208" s="9">
        <v>202</v>
      </c>
      <c r="B208" s="48" t="s">
        <v>592</v>
      </c>
      <c r="C208" s="69" t="s">
        <v>614</v>
      </c>
      <c r="D208" s="6" t="s">
        <v>69</v>
      </c>
      <c r="E208" s="50" t="s">
        <v>72</v>
      </c>
      <c r="F208" s="51" t="s">
        <v>87</v>
      </c>
      <c r="G208" s="9"/>
      <c r="H208" s="9" t="s">
        <v>88</v>
      </c>
      <c r="I208" s="9">
        <v>9953391</v>
      </c>
      <c r="J208" s="10">
        <v>48</v>
      </c>
      <c r="K208" s="11" t="s">
        <v>89</v>
      </c>
      <c r="L208" s="12" t="s">
        <v>76</v>
      </c>
      <c r="M208" s="53" t="s">
        <v>603</v>
      </c>
      <c r="N208" s="9" t="s">
        <v>615</v>
      </c>
      <c r="O208" s="70"/>
      <c r="P208" s="13"/>
      <c r="Q208" s="10"/>
      <c r="R208" s="10"/>
      <c r="S208" s="10"/>
      <c r="T208" s="13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 t="s">
        <v>241</v>
      </c>
      <c r="AM208" s="10"/>
      <c r="AN208" s="10"/>
      <c r="AO208" s="72"/>
      <c r="AP208" s="72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</row>
    <row r="209" spans="1:57" x14ac:dyDescent="0.25">
      <c r="A209" s="9">
        <v>203</v>
      </c>
      <c r="B209" s="48" t="s">
        <v>592</v>
      </c>
      <c r="C209" s="49" t="s">
        <v>616</v>
      </c>
      <c r="D209" s="6" t="s">
        <v>69</v>
      </c>
      <c r="E209" s="50" t="s">
        <v>72</v>
      </c>
      <c r="F209" s="51" t="s">
        <v>87</v>
      </c>
      <c r="G209" s="9"/>
      <c r="H209" s="9" t="s">
        <v>88</v>
      </c>
      <c r="I209" s="9">
        <v>9953391</v>
      </c>
      <c r="J209" s="10">
        <v>27</v>
      </c>
      <c r="K209" s="10" t="s">
        <v>89</v>
      </c>
      <c r="L209" s="13" t="s">
        <v>76</v>
      </c>
      <c r="M209" s="53" t="s">
        <v>612</v>
      </c>
      <c r="N209" s="9" t="s">
        <v>612</v>
      </c>
      <c r="O209" s="70"/>
      <c r="P209" s="13"/>
      <c r="Q209" s="10"/>
      <c r="R209" s="10"/>
      <c r="S209" s="10"/>
      <c r="T209" s="13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72"/>
      <c r="AP209" s="72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</row>
    <row r="210" spans="1:57" x14ac:dyDescent="0.25">
      <c r="A210" s="9">
        <v>204</v>
      </c>
      <c r="B210" s="48" t="s">
        <v>592</v>
      </c>
      <c r="C210" s="49" t="s">
        <v>617</v>
      </c>
      <c r="D210" s="6" t="s">
        <v>69</v>
      </c>
      <c r="E210" s="50" t="s">
        <v>72</v>
      </c>
      <c r="F210" s="51" t="s">
        <v>87</v>
      </c>
      <c r="G210" s="9"/>
      <c r="H210" s="9" t="s">
        <v>88</v>
      </c>
      <c r="I210" s="9">
        <v>9953391</v>
      </c>
      <c r="J210" s="10">
        <v>30</v>
      </c>
      <c r="K210" s="10" t="s">
        <v>89</v>
      </c>
      <c r="L210" s="13" t="s">
        <v>76</v>
      </c>
      <c r="M210" s="70" t="s">
        <v>597</v>
      </c>
      <c r="N210" s="9" t="s">
        <v>597</v>
      </c>
      <c r="O210" s="70"/>
      <c r="P210" s="13"/>
      <c r="Q210" s="10"/>
      <c r="R210" s="10"/>
      <c r="S210" s="10"/>
      <c r="T210" s="13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72"/>
      <c r="AP210" s="72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</row>
    <row r="211" spans="1:57" x14ac:dyDescent="0.25">
      <c r="A211" s="9">
        <v>205</v>
      </c>
      <c r="B211" s="48" t="s">
        <v>592</v>
      </c>
      <c r="C211" s="49" t="s">
        <v>618</v>
      </c>
      <c r="D211" s="6" t="s">
        <v>69</v>
      </c>
      <c r="E211" s="50" t="s">
        <v>72</v>
      </c>
      <c r="F211" s="51" t="s">
        <v>87</v>
      </c>
      <c r="G211" s="9"/>
      <c r="H211" s="9" t="s">
        <v>88</v>
      </c>
      <c r="I211" s="9">
        <v>9953391</v>
      </c>
      <c r="J211" s="10">
        <v>79</v>
      </c>
      <c r="K211" s="9" t="s">
        <v>89</v>
      </c>
      <c r="L211" s="14" t="s">
        <v>76</v>
      </c>
      <c r="M211" s="70" t="s">
        <v>421</v>
      </c>
      <c r="N211" s="9" t="s">
        <v>619</v>
      </c>
      <c r="O211" s="70"/>
      <c r="P211" s="13"/>
      <c r="Q211" s="10"/>
      <c r="R211" s="10"/>
      <c r="S211" s="10"/>
      <c r="T211" s="13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72"/>
      <c r="AP211" s="72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</row>
    <row r="212" spans="1:57" x14ac:dyDescent="0.25">
      <c r="A212" s="9">
        <v>206</v>
      </c>
      <c r="B212" s="48" t="s">
        <v>592</v>
      </c>
      <c r="C212" s="49" t="s">
        <v>620</v>
      </c>
      <c r="D212" s="6" t="s">
        <v>69</v>
      </c>
      <c r="E212" s="50" t="s">
        <v>72</v>
      </c>
      <c r="F212" s="51" t="s">
        <v>87</v>
      </c>
      <c r="G212" s="9"/>
      <c r="H212" s="9" t="s">
        <v>88</v>
      </c>
      <c r="I212" s="9">
        <v>9953391</v>
      </c>
      <c r="J212" s="10">
        <v>94</v>
      </c>
      <c r="K212" s="10" t="s">
        <v>89</v>
      </c>
      <c r="L212" s="13" t="s">
        <v>76</v>
      </c>
      <c r="M212" s="53" t="s">
        <v>167</v>
      </c>
      <c r="N212" s="3" t="s">
        <v>621</v>
      </c>
      <c r="O212" s="70"/>
      <c r="P212" s="13"/>
      <c r="Q212" s="10"/>
      <c r="R212" s="10"/>
      <c r="S212" s="10"/>
      <c r="T212" s="13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72"/>
      <c r="AP212" s="72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</row>
    <row r="213" spans="1:57" x14ac:dyDescent="0.25">
      <c r="A213" s="9">
        <v>207</v>
      </c>
      <c r="B213" s="48" t="s">
        <v>592</v>
      </c>
      <c r="C213" s="49" t="s">
        <v>622</v>
      </c>
      <c r="D213" s="6" t="s">
        <v>69</v>
      </c>
      <c r="E213" s="50" t="s">
        <v>72</v>
      </c>
      <c r="F213" s="51" t="s">
        <v>87</v>
      </c>
      <c r="G213" s="9"/>
      <c r="H213" s="9" t="s">
        <v>116</v>
      </c>
      <c r="I213" s="9">
        <v>9953391</v>
      </c>
      <c r="J213" s="10">
        <v>8</v>
      </c>
      <c r="K213" s="10" t="s">
        <v>89</v>
      </c>
      <c r="L213" s="13" t="s">
        <v>76</v>
      </c>
      <c r="M213" s="53" t="s">
        <v>421</v>
      </c>
      <c r="N213" s="9" t="s">
        <v>623</v>
      </c>
      <c r="O213" s="70"/>
      <c r="P213" s="13"/>
      <c r="Q213" s="10"/>
      <c r="R213" s="10"/>
      <c r="S213" s="10"/>
      <c r="T213" s="13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72"/>
      <c r="AP213" s="72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</row>
    <row r="214" spans="1:57" x14ac:dyDescent="0.25">
      <c r="A214" s="9">
        <v>208</v>
      </c>
      <c r="B214" s="48" t="s">
        <v>592</v>
      </c>
      <c r="C214" s="49" t="s">
        <v>624</v>
      </c>
      <c r="D214" s="6" t="s">
        <v>69</v>
      </c>
      <c r="E214" s="50" t="s">
        <v>72</v>
      </c>
      <c r="F214" s="51" t="s">
        <v>87</v>
      </c>
      <c r="G214" s="9"/>
      <c r="H214" s="9" t="s">
        <v>88</v>
      </c>
      <c r="I214" s="9">
        <v>9953391</v>
      </c>
      <c r="J214" s="10">
        <v>24</v>
      </c>
      <c r="K214" s="9" t="s">
        <v>89</v>
      </c>
      <c r="L214" s="14" t="s">
        <v>76</v>
      </c>
      <c r="M214" s="53" t="s">
        <v>421</v>
      </c>
      <c r="N214" s="9" t="s">
        <v>625</v>
      </c>
      <c r="O214" s="70"/>
      <c r="P214" s="13"/>
      <c r="Q214" s="10"/>
      <c r="R214" s="10"/>
      <c r="S214" s="10"/>
      <c r="T214" s="13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72"/>
      <c r="AP214" s="72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</row>
    <row r="215" spans="1:57" x14ac:dyDescent="0.25">
      <c r="A215" s="9">
        <v>209</v>
      </c>
      <c r="B215" s="48" t="s">
        <v>592</v>
      </c>
      <c r="C215" s="49" t="s">
        <v>626</v>
      </c>
      <c r="D215" s="6" t="s">
        <v>69</v>
      </c>
      <c r="E215" s="50" t="s">
        <v>72</v>
      </c>
      <c r="F215" s="51" t="s">
        <v>87</v>
      </c>
      <c r="G215" s="9"/>
      <c r="H215" s="9" t="s">
        <v>88</v>
      </c>
      <c r="I215" s="9">
        <v>9953391</v>
      </c>
      <c r="J215" s="10">
        <v>186</v>
      </c>
      <c r="K215" s="10" t="s">
        <v>96</v>
      </c>
      <c r="L215" s="13" t="s">
        <v>97</v>
      </c>
      <c r="M215" s="53" t="s">
        <v>167</v>
      </c>
      <c r="N215" s="9" t="s">
        <v>627</v>
      </c>
      <c r="O215" s="70"/>
      <c r="P215" s="13"/>
      <c r="Q215" s="10"/>
      <c r="R215" s="10"/>
      <c r="S215" s="10"/>
      <c r="T215" s="13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 t="s">
        <v>100</v>
      </c>
      <c r="AL215" s="10"/>
      <c r="AM215" s="9" t="s">
        <v>628</v>
      </c>
      <c r="AN215" s="10"/>
      <c r="AO215" s="72"/>
      <c r="AP215" s="72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</row>
    <row r="216" spans="1:57" x14ac:dyDescent="0.25">
      <c r="A216" s="9">
        <v>210</v>
      </c>
      <c r="B216" s="48" t="s">
        <v>592</v>
      </c>
      <c r="C216" s="49" t="s">
        <v>629</v>
      </c>
      <c r="D216" s="6" t="s">
        <v>69</v>
      </c>
      <c r="E216" s="50" t="s">
        <v>72</v>
      </c>
      <c r="F216" s="51" t="s">
        <v>87</v>
      </c>
      <c r="G216" s="9"/>
      <c r="H216" s="9" t="s">
        <v>88</v>
      </c>
      <c r="I216" s="9">
        <v>9953391</v>
      </c>
      <c r="J216" s="10">
        <v>13</v>
      </c>
      <c r="K216" s="10" t="s">
        <v>96</v>
      </c>
      <c r="L216" s="13" t="s">
        <v>97</v>
      </c>
      <c r="M216" s="53" t="s">
        <v>273</v>
      </c>
      <c r="N216" s="9" t="s">
        <v>274</v>
      </c>
      <c r="O216" s="70"/>
      <c r="P216" s="13"/>
      <c r="Q216" s="10"/>
      <c r="R216" s="10"/>
      <c r="S216" s="10"/>
      <c r="T216" s="13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 t="s">
        <v>100</v>
      </c>
      <c r="AL216" s="10" t="s">
        <v>276</v>
      </c>
      <c r="AM216" s="9" t="s">
        <v>630</v>
      </c>
      <c r="AN216" s="10"/>
      <c r="AO216" s="72"/>
      <c r="AP216" s="72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</row>
    <row r="217" spans="1:57" x14ac:dyDescent="0.25">
      <c r="A217" s="9">
        <v>211</v>
      </c>
      <c r="B217" s="48" t="s">
        <v>592</v>
      </c>
      <c r="C217" s="49" t="s">
        <v>631</v>
      </c>
      <c r="D217" s="6" t="s">
        <v>69</v>
      </c>
      <c r="E217" s="50" t="s">
        <v>72</v>
      </c>
      <c r="F217" s="51" t="s">
        <v>87</v>
      </c>
      <c r="G217" s="9"/>
      <c r="H217" s="9" t="s">
        <v>88</v>
      </c>
      <c r="I217" s="9">
        <v>9953391</v>
      </c>
      <c r="J217" s="10">
        <v>408</v>
      </c>
      <c r="K217" s="10" t="s">
        <v>96</v>
      </c>
      <c r="L217" s="13" t="s">
        <v>97</v>
      </c>
      <c r="M217" s="53" t="s">
        <v>273</v>
      </c>
      <c r="N217" s="9" t="s">
        <v>274</v>
      </c>
      <c r="O217" s="70"/>
      <c r="P217" s="13"/>
      <c r="Q217" s="10"/>
      <c r="R217" s="10"/>
      <c r="S217" s="10"/>
      <c r="T217" s="13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 t="s">
        <v>100</v>
      </c>
      <c r="AL217" s="10" t="s">
        <v>276</v>
      </c>
      <c r="AM217" s="9" t="s">
        <v>632</v>
      </c>
      <c r="AN217" s="10"/>
      <c r="AO217" s="72"/>
      <c r="AP217" s="72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</row>
    <row r="218" spans="1:57" x14ac:dyDescent="0.25">
      <c r="A218" s="9">
        <v>212</v>
      </c>
      <c r="B218" s="48" t="s">
        <v>592</v>
      </c>
      <c r="C218" s="49" t="s">
        <v>633</v>
      </c>
      <c r="D218" s="6" t="s">
        <v>69</v>
      </c>
      <c r="E218" s="50" t="s">
        <v>72</v>
      </c>
      <c r="F218" s="51" t="s">
        <v>87</v>
      </c>
      <c r="G218" s="9"/>
      <c r="H218" s="9" t="s">
        <v>88</v>
      </c>
      <c r="I218" s="9">
        <v>9953391</v>
      </c>
      <c r="J218" s="10">
        <v>14</v>
      </c>
      <c r="K218" s="10" t="s">
        <v>89</v>
      </c>
      <c r="L218" s="13" t="s">
        <v>76</v>
      </c>
      <c r="M218" s="53" t="s">
        <v>77</v>
      </c>
      <c r="N218" s="9" t="s">
        <v>634</v>
      </c>
      <c r="O218" s="70"/>
      <c r="P218" s="13"/>
      <c r="Q218" s="10"/>
      <c r="R218" s="10"/>
      <c r="S218" s="10"/>
      <c r="T218" s="13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72"/>
      <c r="AP218" s="72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</row>
    <row r="219" spans="1:57" s="47" customFormat="1" x14ac:dyDescent="0.25">
      <c r="A219" s="41">
        <v>213</v>
      </c>
      <c r="B219" s="42" t="s">
        <v>592</v>
      </c>
      <c r="C219" s="43" t="s">
        <v>635</v>
      </c>
      <c r="D219" s="44" t="s">
        <v>69</v>
      </c>
      <c r="E219" s="45" t="s">
        <v>70</v>
      </c>
      <c r="F219" s="44" t="s">
        <v>70</v>
      </c>
      <c r="G219" s="44" t="s">
        <v>70</v>
      </c>
      <c r="H219" s="44" t="s">
        <v>70</v>
      </c>
      <c r="I219" s="44" t="s">
        <v>70</v>
      </c>
      <c r="J219" s="44" t="s">
        <v>70</v>
      </c>
      <c r="K219" s="44" t="s">
        <v>70</v>
      </c>
      <c r="L219" s="44" t="s">
        <v>70</v>
      </c>
      <c r="M219" s="45" t="s">
        <v>70</v>
      </c>
      <c r="N219" s="44" t="s">
        <v>70</v>
      </c>
      <c r="O219" s="67"/>
      <c r="P219" s="46"/>
      <c r="Q219" s="41"/>
      <c r="R219" s="41"/>
      <c r="S219" s="41"/>
      <c r="T219" s="46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72"/>
      <c r="AP219" s="72"/>
      <c r="AQ219" s="41"/>
      <c r="AR219" s="41"/>
      <c r="AS219" s="41"/>
      <c r="AT219" s="41"/>
      <c r="AU219" s="41"/>
      <c r="AV219" s="41"/>
      <c r="AW219" s="41"/>
      <c r="AX219" s="41"/>
      <c r="AY219" s="10"/>
      <c r="AZ219" s="41"/>
      <c r="BA219" s="41"/>
      <c r="BB219" s="41"/>
      <c r="BC219" s="41"/>
      <c r="BD219" s="41"/>
      <c r="BE219" s="41"/>
    </row>
    <row r="220" spans="1:57" x14ac:dyDescent="0.25">
      <c r="A220" s="9">
        <v>214</v>
      </c>
      <c r="B220" s="48" t="s">
        <v>592</v>
      </c>
      <c r="C220" s="49" t="s">
        <v>636</v>
      </c>
      <c r="D220" s="6" t="s">
        <v>69</v>
      </c>
      <c r="E220" s="50" t="s">
        <v>72</v>
      </c>
      <c r="F220" s="51" t="s">
        <v>87</v>
      </c>
      <c r="G220" s="9"/>
      <c r="H220" s="9">
        <v>4193</v>
      </c>
      <c r="I220" s="9" t="s">
        <v>74</v>
      </c>
      <c r="J220" s="9">
        <v>69</v>
      </c>
      <c r="K220" s="10" t="s">
        <v>96</v>
      </c>
      <c r="L220" s="13" t="s">
        <v>97</v>
      </c>
      <c r="M220" s="53" t="s">
        <v>637</v>
      </c>
      <c r="N220" s="9" t="s">
        <v>638</v>
      </c>
      <c r="O220" s="70"/>
      <c r="P220" s="13"/>
      <c r="Q220" s="10"/>
      <c r="R220" s="10"/>
      <c r="S220" s="10"/>
      <c r="T220" s="13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9" t="s">
        <v>100</v>
      </c>
      <c r="AL220" s="10"/>
      <c r="AM220" s="9" t="s">
        <v>639</v>
      </c>
      <c r="AN220" s="10" t="s">
        <v>296</v>
      </c>
      <c r="AO220" s="72">
        <v>46281</v>
      </c>
      <c r="AP220" s="72">
        <v>46281</v>
      </c>
      <c r="AQ220" s="10">
        <v>28</v>
      </c>
      <c r="AR220" s="10" t="s">
        <v>103</v>
      </c>
      <c r="AS220" s="2" t="s">
        <v>640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</row>
    <row r="221" spans="1:57" s="47" customFormat="1" x14ac:dyDescent="0.25">
      <c r="A221" s="41">
        <v>215</v>
      </c>
      <c r="B221" s="42" t="s">
        <v>592</v>
      </c>
      <c r="C221" s="43" t="s">
        <v>641</v>
      </c>
      <c r="D221" s="44" t="s">
        <v>69</v>
      </c>
      <c r="E221" s="45" t="s">
        <v>70</v>
      </c>
      <c r="F221" s="44" t="s">
        <v>70</v>
      </c>
      <c r="G221" s="44" t="s">
        <v>70</v>
      </c>
      <c r="H221" s="44" t="s">
        <v>70</v>
      </c>
      <c r="I221" s="44" t="s">
        <v>70</v>
      </c>
      <c r="J221" s="44" t="s">
        <v>70</v>
      </c>
      <c r="K221" s="44" t="s">
        <v>70</v>
      </c>
      <c r="L221" s="44" t="s">
        <v>70</v>
      </c>
      <c r="M221" s="45" t="s">
        <v>70</v>
      </c>
      <c r="N221" s="44" t="s">
        <v>70</v>
      </c>
      <c r="O221" s="67"/>
      <c r="P221" s="46"/>
      <c r="Q221" s="41"/>
      <c r="R221" s="41"/>
      <c r="S221" s="41"/>
      <c r="T221" s="46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72"/>
      <c r="AP221" s="72"/>
      <c r="AQ221" s="41"/>
      <c r="AR221" s="41"/>
      <c r="AS221" s="41"/>
      <c r="AT221" s="41"/>
      <c r="AU221" s="41"/>
      <c r="AV221" s="41"/>
      <c r="AW221" s="41"/>
      <c r="AX221" s="41"/>
      <c r="AY221" s="10"/>
      <c r="AZ221" s="41"/>
      <c r="BA221" s="41"/>
      <c r="BB221" s="41"/>
      <c r="BC221" s="41"/>
      <c r="BD221" s="41"/>
      <c r="BE221" s="41"/>
    </row>
    <row r="222" spans="1:57" x14ac:dyDescent="0.25">
      <c r="A222" s="9">
        <v>216</v>
      </c>
      <c r="B222" s="48" t="s">
        <v>592</v>
      </c>
      <c r="C222" s="49" t="s">
        <v>642</v>
      </c>
      <c r="D222" s="6" t="s">
        <v>69</v>
      </c>
      <c r="E222" s="50" t="s">
        <v>72</v>
      </c>
      <c r="F222" s="51" t="s">
        <v>87</v>
      </c>
      <c r="G222" s="9"/>
      <c r="H222" s="9" t="s">
        <v>88</v>
      </c>
      <c r="I222" s="9">
        <v>9953391</v>
      </c>
      <c r="J222" s="10">
        <v>18</v>
      </c>
      <c r="K222" s="10" t="s">
        <v>89</v>
      </c>
      <c r="L222" s="13" t="s">
        <v>76</v>
      </c>
      <c r="M222" s="53" t="s">
        <v>326</v>
      </c>
      <c r="N222" s="9" t="s">
        <v>643</v>
      </c>
      <c r="O222" s="70"/>
      <c r="P222" s="13"/>
      <c r="Q222" s="10"/>
      <c r="R222" s="10"/>
      <c r="S222" s="10"/>
      <c r="T222" s="13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72"/>
      <c r="AP222" s="72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</row>
    <row r="223" spans="1:57" x14ac:dyDescent="0.25">
      <c r="A223" s="9">
        <v>217</v>
      </c>
      <c r="B223" s="48" t="s">
        <v>592</v>
      </c>
      <c r="C223" s="49" t="s">
        <v>644</v>
      </c>
      <c r="D223" s="6" t="s">
        <v>69</v>
      </c>
      <c r="E223" s="50" t="s">
        <v>72</v>
      </c>
      <c r="F223" s="51" t="s">
        <v>87</v>
      </c>
      <c r="G223" s="9"/>
      <c r="H223" s="21" t="s">
        <v>645</v>
      </c>
      <c r="I223" s="9" t="s">
        <v>74</v>
      </c>
      <c r="J223" s="10">
        <v>18</v>
      </c>
      <c r="K223" s="10" t="s">
        <v>96</v>
      </c>
      <c r="L223" s="13" t="s">
        <v>97</v>
      </c>
      <c r="M223" s="53" t="s">
        <v>548</v>
      </c>
      <c r="N223" s="9" t="s">
        <v>646</v>
      </c>
      <c r="O223" s="70"/>
      <c r="P223" s="13"/>
      <c r="Q223" s="10"/>
      <c r="R223" s="10"/>
      <c r="S223" s="10"/>
      <c r="T223" s="13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 t="s">
        <v>100</v>
      </c>
      <c r="AL223" s="10"/>
      <c r="AM223" s="9" t="s">
        <v>647</v>
      </c>
      <c r="AN223" s="10" t="s">
        <v>175</v>
      </c>
      <c r="AO223" s="72">
        <v>46282</v>
      </c>
      <c r="AP223" s="72">
        <v>46282</v>
      </c>
      <c r="AQ223" s="10">
        <v>209</v>
      </c>
      <c r="AR223" s="10" t="s">
        <v>103</v>
      </c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</row>
    <row r="224" spans="1:57" s="47" customFormat="1" x14ac:dyDescent="0.25">
      <c r="A224" s="41">
        <v>218</v>
      </c>
      <c r="B224" s="42" t="s">
        <v>592</v>
      </c>
      <c r="C224" s="43" t="s">
        <v>648</v>
      </c>
      <c r="D224" s="44" t="s">
        <v>69</v>
      </c>
      <c r="E224" s="45" t="s">
        <v>70</v>
      </c>
      <c r="F224" s="44" t="s">
        <v>70</v>
      </c>
      <c r="G224" s="44" t="s">
        <v>70</v>
      </c>
      <c r="H224" s="44" t="s">
        <v>70</v>
      </c>
      <c r="I224" s="44" t="s">
        <v>70</v>
      </c>
      <c r="J224" s="44" t="s">
        <v>70</v>
      </c>
      <c r="K224" s="44" t="s">
        <v>70</v>
      </c>
      <c r="L224" s="44" t="s">
        <v>70</v>
      </c>
      <c r="M224" s="45" t="s">
        <v>70</v>
      </c>
      <c r="N224" s="44" t="s">
        <v>70</v>
      </c>
      <c r="O224" s="67"/>
      <c r="P224" s="46"/>
      <c r="Q224" s="41"/>
      <c r="R224" s="41"/>
      <c r="S224" s="41"/>
      <c r="T224" s="46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72"/>
      <c r="AP224" s="72"/>
      <c r="AQ224" s="41"/>
      <c r="AR224" s="41"/>
      <c r="AS224" s="41"/>
      <c r="AT224" s="41"/>
      <c r="AU224" s="41"/>
      <c r="AV224" s="41"/>
      <c r="AW224" s="41"/>
      <c r="AX224" s="41"/>
      <c r="AY224" s="10"/>
      <c r="AZ224" s="41"/>
      <c r="BA224" s="41"/>
      <c r="BB224" s="41"/>
      <c r="BC224" s="41"/>
      <c r="BD224" s="41"/>
      <c r="BE224" s="41"/>
    </row>
    <row r="225" spans="1:57" x14ac:dyDescent="0.25">
      <c r="A225" s="9">
        <v>219</v>
      </c>
      <c r="B225" s="48" t="s">
        <v>592</v>
      </c>
      <c r="C225" s="49" t="s">
        <v>649</v>
      </c>
      <c r="D225" s="6" t="s">
        <v>69</v>
      </c>
      <c r="E225" s="50" t="s">
        <v>72</v>
      </c>
      <c r="F225" s="51" t="s">
        <v>87</v>
      </c>
      <c r="G225" s="9"/>
      <c r="H225" s="9" t="s">
        <v>292</v>
      </c>
      <c r="I225" s="9" t="s">
        <v>74</v>
      </c>
      <c r="J225" s="9">
        <v>109</v>
      </c>
      <c r="K225" s="10" t="s">
        <v>96</v>
      </c>
      <c r="L225" s="13" t="s">
        <v>97</v>
      </c>
      <c r="M225" s="53" t="s">
        <v>519</v>
      </c>
      <c r="N225" s="9" t="s">
        <v>650</v>
      </c>
      <c r="O225" s="70"/>
      <c r="P225" s="13"/>
      <c r="Q225" s="10"/>
      <c r="R225" s="10"/>
      <c r="S225" s="10"/>
      <c r="T225" s="13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 t="s">
        <v>100</v>
      </c>
      <c r="AL225" s="10"/>
      <c r="AM225" s="9" t="s">
        <v>651</v>
      </c>
      <c r="AN225" s="10" t="s">
        <v>282</v>
      </c>
      <c r="AO225" s="72"/>
      <c r="AP225" s="72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</row>
    <row r="226" spans="1:57" s="47" customFormat="1" x14ac:dyDescent="0.25">
      <c r="A226" s="41">
        <v>220</v>
      </c>
      <c r="B226" s="42" t="s">
        <v>592</v>
      </c>
      <c r="C226" s="43" t="s">
        <v>652</v>
      </c>
      <c r="D226" s="44" t="s">
        <v>69</v>
      </c>
      <c r="E226" s="45" t="s">
        <v>70</v>
      </c>
      <c r="F226" s="44" t="s">
        <v>70</v>
      </c>
      <c r="G226" s="44" t="s">
        <v>70</v>
      </c>
      <c r="H226" s="44" t="s">
        <v>70</v>
      </c>
      <c r="I226" s="44" t="s">
        <v>70</v>
      </c>
      <c r="J226" s="44" t="s">
        <v>70</v>
      </c>
      <c r="K226" s="44" t="s">
        <v>70</v>
      </c>
      <c r="L226" s="44" t="s">
        <v>70</v>
      </c>
      <c r="M226" s="45" t="s">
        <v>70</v>
      </c>
      <c r="N226" s="44" t="s">
        <v>70</v>
      </c>
      <c r="O226" s="67"/>
      <c r="P226" s="46"/>
      <c r="Q226" s="41"/>
      <c r="R226" s="41"/>
      <c r="S226" s="41"/>
      <c r="T226" s="46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72"/>
      <c r="AP226" s="72"/>
      <c r="AQ226" s="41"/>
      <c r="AR226" s="41"/>
      <c r="AS226" s="41"/>
      <c r="AT226" s="41"/>
      <c r="AU226" s="41"/>
      <c r="AV226" s="41"/>
      <c r="AW226" s="41"/>
      <c r="AX226" s="41"/>
      <c r="AY226" s="10"/>
      <c r="AZ226" s="41"/>
      <c r="BA226" s="41"/>
      <c r="BB226" s="41"/>
      <c r="BC226" s="41"/>
      <c r="BD226" s="41"/>
      <c r="BE226" s="41"/>
    </row>
    <row r="227" spans="1:57" x14ac:dyDescent="0.25">
      <c r="A227" s="9">
        <v>221</v>
      </c>
      <c r="B227" s="48" t="s">
        <v>592</v>
      </c>
      <c r="C227" s="49" t="s">
        <v>653</v>
      </c>
      <c r="D227" s="6" t="s">
        <v>69</v>
      </c>
      <c r="E227" s="50" t="s">
        <v>72</v>
      </c>
      <c r="F227" s="51" t="s">
        <v>87</v>
      </c>
      <c r="G227" s="9"/>
      <c r="H227" s="9">
        <v>4193</v>
      </c>
      <c r="I227" s="9" t="s">
        <v>74</v>
      </c>
      <c r="J227" s="9">
        <v>35</v>
      </c>
      <c r="K227" s="10" t="s">
        <v>96</v>
      </c>
      <c r="L227" s="13" t="s">
        <v>97</v>
      </c>
      <c r="M227" s="53" t="s">
        <v>612</v>
      </c>
      <c r="N227" s="9" t="s">
        <v>654</v>
      </c>
      <c r="O227" s="70"/>
      <c r="P227" s="13"/>
      <c r="Q227" s="10"/>
      <c r="R227" s="10"/>
      <c r="S227" s="10"/>
      <c r="T227" s="13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 t="s">
        <v>100</v>
      </c>
      <c r="AL227" s="10"/>
      <c r="AM227" s="9" t="s">
        <v>655</v>
      </c>
      <c r="AN227" s="10" t="s">
        <v>656</v>
      </c>
      <c r="AO227" s="72">
        <v>46279</v>
      </c>
      <c r="AP227" s="72">
        <v>46279</v>
      </c>
      <c r="AQ227" s="10">
        <v>70</v>
      </c>
      <c r="AR227" s="10" t="s">
        <v>103</v>
      </c>
      <c r="AS227" s="10"/>
      <c r="AT227" s="10"/>
      <c r="AU227" s="10"/>
      <c r="AV227" s="10"/>
      <c r="AW227" s="10"/>
      <c r="AX227" s="10"/>
      <c r="AY227" s="10" t="s">
        <v>330</v>
      </c>
      <c r="AZ227" s="72">
        <v>46282</v>
      </c>
      <c r="BA227" s="72">
        <v>46282</v>
      </c>
      <c r="BB227" s="10">
        <v>70</v>
      </c>
      <c r="BC227" s="10" t="s">
        <v>103</v>
      </c>
      <c r="BD227" s="10"/>
      <c r="BE227" s="10"/>
    </row>
    <row r="228" spans="1:57" s="47" customFormat="1" x14ac:dyDescent="0.25">
      <c r="A228" s="41">
        <v>222</v>
      </c>
      <c r="B228" s="42" t="s">
        <v>592</v>
      </c>
      <c r="C228" s="43" t="s">
        <v>657</v>
      </c>
      <c r="D228" s="44" t="s">
        <v>69</v>
      </c>
      <c r="E228" s="45" t="s">
        <v>70</v>
      </c>
      <c r="F228" s="44" t="s">
        <v>70</v>
      </c>
      <c r="G228" s="44" t="s">
        <v>70</v>
      </c>
      <c r="H228" s="44" t="s">
        <v>70</v>
      </c>
      <c r="I228" s="44" t="s">
        <v>70</v>
      </c>
      <c r="J228" s="44" t="s">
        <v>70</v>
      </c>
      <c r="K228" s="44" t="s">
        <v>70</v>
      </c>
      <c r="L228" s="44" t="s">
        <v>70</v>
      </c>
      <c r="M228" s="45" t="s">
        <v>70</v>
      </c>
      <c r="N228" s="44" t="s">
        <v>70</v>
      </c>
      <c r="O228" s="67"/>
      <c r="P228" s="46"/>
      <c r="Q228" s="41"/>
      <c r="R228" s="41"/>
      <c r="S228" s="41"/>
      <c r="T228" s="46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72"/>
      <c r="AP228" s="72"/>
      <c r="AQ228" s="41"/>
      <c r="AR228" s="41"/>
      <c r="AS228" s="41"/>
      <c r="AT228" s="41"/>
      <c r="AU228" s="41"/>
      <c r="AV228" s="41"/>
      <c r="AW228" s="41"/>
      <c r="AX228" s="41"/>
      <c r="AY228" s="10"/>
      <c r="AZ228" s="41"/>
      <c r="BA228" s="41"/>
      <c r="BB228" s="41"/>
      <c r="BC228" s="41"/>
      <c r="BD228" s="41"/>
      <c r="BE228" s="41"/>
    </row>
    <row r="229" spans="1:57" x14ac:dyDescent="0.25">
      <c r="A229" s="9">
        <v>223</v>
      </c>
      <c r="B229" s="48" t="s">
        <v>592</v>
      </c>
      <c r="C229" s="49" t="s">
        <v>658</v>
      </c>
      <c r="D229" s="6" t="s">
        <v>69</v>
      </c>
      <c r="E229" s="50" t="s">
        <v>72</v>
      </c>
      <c r="F229" s="51" t="s">
        <v>87</v>
      </c>
      <c r="G229" s="9"/>
      <c r="H229" s="9" t="s">
        <v>444</v>
      </c>
      <c r="I229" s="9" t="s">
        <v>74</v>
      </c>
      <c r="J229" s="9">
        <v>116</v>
      </c>
      <c r="K229" s="10" t="s">
        <v>96</v>
      </c>
      <c r="L229" s="13" t="s">
        <v>97</v>
      </c>
      <c r="M229" s="70" t="s">
        <v>421</v>
      </c>
      <c r="N229" s="9" t="s">
        <v>659</v>
      </c>
      <c r="O229" s="70"/>
      <c r="P229" s="13"/>
      <c r="Q229" s="10"/>
      <c r="R229" s="10"/>
      <c r="S229" s="10"/>
      <c r="T229" s="13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 t="s">
        <v>100</v>
      </c>
      <c r="AL229" s="10"/>
      <c r="AM229" s="9" t="s">
        <v>660</v>
      </c>
      <c r="AN229" s="10" t="s">
        <v>282</v>
      </c>
      <c r="AO229" s="72">
        <v>46281</v>
      </c>
      <c r="AP229" s="72">
        <v>46281</v>
      </c>
      <c r="AQ229" s="10">
        <v>163</v>
      </c>
      <c r="AR229" s="10" t="s">
        <v>103</v>
      </c>
      <c r="AS229" s="2" t="s">
        <v>661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</row>
    <row r="230" spans="1:57" x14ac:dyDescent="0.25">
      <c r="A230" s="9">
        <v>224</v>
      </c>
      <c r="B230" s="48" t="s">
        <v>592</v>
      </c>
      <c r="C230" s="49" t="s">
        <v>662</v>
      </c>
      <c r="D230" s="6" t="s">
        <v>69</v>
      </c>
      <c r="E230" s="50" t="s">
        <v>72</v>
      </c>
      <c r="F230" s="51" t="s">
        <v>87</v>
      </c>
      <c r="G230" s="9"/>
      <c r="H230" s="9" t="s">
        <v>663</v>
      </c>
      <c r="I230" s="9" t="s">
        <v>74</v>
      </c>
      <c r="J230" s="9">
        <v>45</v>
      </c>
      <c r="K230" s="10" t="s">
        <v>96</v>
      </c>
      <c r="L230" s="13" t="s">
        <v>97</v>
      </c>
      <c r="M230" s="70" t="s">
        <v>293</v>
      </c>
      <c r="N230" s="9" t="s">
        <v>664</v>
      </c>
      <c r="O230" s="70"/>
      <c r="P230" s="13"/>
      <c r="Q230" s="10"/>
      <c r="R230" s="10"/>
      <c r="S230" s="10"/>
      <c r="T230" s="13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 t="s">
        <v>100</v>
      </c>
      <c r="AL230" s="10"/>
      <c r="AM230" s="9" t="s">
        <v>665</v>
      </c>
      <c r="AN230" s="10" t="s">
        <v>316</v>
      </c>
      <c r="AO230" s="72">
        <v>46282</v>
      </c>
      <c r="AP230" s="72">
        <v>46282</v>
      </c>
      <c r="AQ230" s="10">
        <v>149</v>
      </c>
      <c r="AR230" s="10" t="s">
        <v>103</v>
      </c>
      <c r="AS230" s="2" t="s">
        <v>666</v>
      </c>
      <c r="AT230" s="10"/>
      <c r="AU230" s="10"/>
      <c r="AV230" s="10"/>
      <c r="AW230" s="10"/>
      <c r="AX230" s="10"/>
      <c r="AY230" s="10" t="s">
        <v>318</v>
      </c>
      <c r="AZ230" s="10"/>
      <c r="BA230" s="10"/>
      <c r="BB230" s="10"/>
      <c r="BC230" s="10"/>
      <c r="BD230" s="10"/>
      <c r="BE230" s="10"/>
    </row>
    <row r="231" spans="1:57" s="47" customFormat="1" x14ac:dyDescent="0.25">
      <c r="A231" s="41">
        <v>225</v>
      </c>
      <c r="B231" s="42" t="s">
        <v>592</v>
      </c>
      <c r="C231" s="43" t="s">
        <v>667</v>
      </c>
      <c r="D231" s="44" t="s">
        <v>69</v>
      </c>
      <c r="E231" s="45" t="s">
        <v>70</v>
      </c>
      <c r="F231" s="44" t="s">
        <v>70</v>
      </c>
      <c r="G231" s="44" t="s">
        <v>70</v>
      </c>
      <c r="H231" s="44" t="s">
        <v>70</v>
      </c>
      <c r="I231" s="44" t="s">
        <v>70</v>
      </c>
      <c r="J231" s="44" t="s">
        <v>70</v>
      </c>
      <c r="K231" s="44" t="s">
        <v>70</v>
      </c>
      <c r="L231" s="44" t="s">
        <v>70</v>
      </c>
      <c r="M231" s="45" t="s">
        <v>70</v>
      </c>
      <c r="N231" s="44" t="s">
        <v>70</v>
      </c>
      <c r="O231" s="67"/>
      <c r="P231" s="46"/>
      <c r="Q231" s="41"/>
      <c r="R231" s="41"/>
      <c r="S231" s="41"/>
      <c r="T231" s="46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72"/>
      <c r="AP231" s="72"/>
      <c r="AQ231" s="41"/>
      <c r="AR231" s="41"/>
      <c r="AS231" s="41"/>
      <c r="AT231" s="41"/>
      <c r="AU231" s="41"/>
      <c r="AV231" s="41"/>
      <c r="AW231" s="41"/>
      <c r="AX231" s="41"/>
      <c r="AY231" s="10"/>
      <c r="AZ231" s="41"/>
      <c r="BA231" s="41"/>
      <c r="BB231" s="41"/>
      <c r="BC231" s="41"/>
      <c r="BD231" s="41"/>
      <c r="BE231" s="41"/>
    </row>
    <row r="232" spans="1:57" x14ac:dyDescent="0.25">
      <c r="A232" s="9">
        <v>226</v>
      </c>
      <c r="B232" s="48" t="s">
        <v>592</v>
      </c>
      <c r="C232" s="49" t="s">
        <v>668</v>
      </c>
      <c r="D232" s="6" t="s">
        <v>69</v>
      </c>
      <c r="E232" s="50" t="s">
        <v>72</v>
      </c>
      <c r="F232" s="51" t="s">
        <v>87</v>
      </c>
      <c r="G232" s="9"/>
      <c r="H232" s="9" t="s">
        <v>88</v>
      </c>
      <c r="I232" s="9">
        <v>9953391</v>
      </c>
      <c r="J232" s="10">
        <v>8</v>
      </c>
      <c r="K232" s="9" t="s">
        <v>89</v>
      </c>
      <c r="L232" s="14" t="s">
        <v>76</v>
      </c>
      <c r="M232" s="53" t="s">
        <v>273</v>
      </c>
      <c r="N232" s="9" t="s">
        <v>274</v>
      </c>
      <c r="O232" s="70"/>
      <c r="P232" s="13"/>
      <c r="Q232" s="10"/>
      <c r="R232" s="10"/>
      <c r="S232" s="10"/>
      <c r="T232" s="13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72"/>
      <c r="AP232" s="72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</row>
    <row r="233" spans="1:57" s="47" customFormat="1" x14ac:dyDescent="0.25">
      <c r="A233" s="41">
        <v>227</v>
      </c>
      <c r="B233" s="42" t="s">
        <v>592</v>
      </c>
      <c r="C233" s="43" t="s">
        <v>669</v>
      </c>
      <c r="D233" s="44" t="s">
        <v>69</v>
      </c>
      <c r="E233" s="45" t="s">
        <v>70</v>
      </c>
      <c r="F233" s="44" t="s">
        <v>70</v>
      </c>
      <c r="G233" s="44" t="s">
        <v>70</v>
      </c>
      <c r="H233" s="44" t="s">
        <v>70</v>
      </c>
      <c r="I233" s="44" t="s">
        <v>70</v>
      </c>
      <c r="J233" s="44" t="s">
        <v>70</v>
      </c>
      <c r="K233" s="44" t="s">
        <v>70</v>
      </c>
      <c r="L233" s="44" t="s">
        <v>70</v>
      </c>
      <c r="M233" s="45" t="s">
        <v>70</v>
      </c>
      <c r="N233" s="44" t="s">
        <v>70</v>
      </c>
      <c r="O233" s="67"/>
      <c r="P233" s="46"/>
      <c r="Q233" s="41"/>
      <c r="R233" s="41"/>
      <c r="S233" s="41"/>
      <c r="T233" s="46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72"/>
      <c r="AP233" s="72"/>
      <c r="AQ233" s="41"/>
      <c r="AR233" s="41"/>
      <c r="AS233" s="41"/>
      <c r="AT233" s="41"/>
      <c r="AU233" s="41"/>
      <c r="AV233" s="41"/>
      <c r="AW233" s="41"/>
      <c r="AX233" s="41"/>
      <c r="AY233" s="10"/>
      <c r="AZ233" s="41"/>
      <c r="BA233" s="41"/>
      <c r="BB233" s="41"/>
      <c r="BC233" s="41"/>
      <c r="BD233" s="41"/>
      <c r="BE233" s="41"/>
    </row>
    <row r="234" spans="1:57" s="47" customFormat="1" x14ac:dyDescent="0.25">
      <c r="A234" s="41">
        <v>228</v>
      </c>
      <c r="B234" s="42" t="s">
        <v>592</v>
      </c>
      <c r="C234" s="43" t="s">
        <v>670</v>
      </c>
      <c r="D234" s="44" t="s">
        <v>69</v>
      </c>
      <c r="E234" s="45" t="s">
        <v>70</v>
      </c>
      <c r="F234" s="44" t="s">
        <v>70</v>
      </c>
      <c r="G234" s="44" t="s">
        <v>70</v>
      </c>
      <c r="H234" s="44" t="s">
        <v>70</v>
      </c>
      <c r="I234" s="44" t="s">
        <v>70</v>
      </c>
      <c r="J234" s="44" t="s">
        <v>70</v>
      </c>
      <c r="K234" s="44" t="s">
        <v>70</v>
      </c>
      <c r="L234" s="44" t="s">
        <v>70</v>
      </c>
      <c r="M234" s="45" t="s">
        <v>70</v>
      </c>
      <c r="N234" s="44" t="s">
        <v>70</v>
      </c>
      <c r="O234" s="67"/>
      <c r="P234" s="46"/>
      <c r="Q234" s="41"/>
      <c r="R234" s="41"/>
      <c r="S234" s="41"/>
      <c r="T234" s="46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72"/>
      <c r="AP234" s="72"/>
      <c r="AQ234" s="41"/>
      <c r="AR234" s="41"/>
      <c r="AS234" s="41"/>
      <c r="AT234" s="41"/>
      <c r="AU234" s="41"/>
      <c r="AV234" s="41"/>
      <c r="AW234" s="41"/>
      <c r="AX234" s="41"/>
      <c r="AY234" s="10"/>
      <c r="AZ234" s="41"/>
      <c r="BA234" s="41"/>
      <c r="BB234" s="41"/>
      <c r="BC234" s="41"/>
      <c r="BD234" s="41"/>
      <c r="BE234" s="41"/>
    </row>
    <row r="235" spans="1:57" s="47" customFormat="1" x14ac:dyDescent="0.25">
      <c r="A235" s="41">
        <v>229</v>
      </c>
      <c r="B235" s="42" t="s">
        <v>592</v>
      </c>
      <c r="C235" s="43" t="s">
        <v>671</v>
      </c>
      <c r="D235" s="44" t="s">
        <v>69</v>
      </c>
      <c r="E235" s="45" t="s">
        <v>70</v>
      </c>
      <c r="F235" s="44" t="s">
        <v>70</v>
      </c>
      <c r="G235" s="44" t="s">
        <v>70</v>
      </c>
      <c r="H235" s="44" t="s">
        <v>70</v>
      </c>
      <c r="I235" s="44" t="s">
        <v>70</v>
      </c>
      <c r="J235" s="44" t="s">
        <v>70</v>
      </c>
      <c r="K235" s="44" t="s">
        <v>70</v>
      </c>
      <c r="L235" s="44" t="s">
        <v>70</v>
      </c>
      <c r="M235" s="45" t="s">
        <v>70</v>
      </c>
      <c r="N235" s="44" t="s">
        <v>70</v>
      </c>
      <c r="O235" s="67"/>
      <c r="P235" s="46"/>
      <c r="Q235" s="41"/>
      <c r="R235" s="41"/>
      <c r="S235" s="41"/>
      <c r="T235" s="46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72"/>
      <c r="AP235" s="72"/>
      <c r="AQ235" s="41"/>
      <c r="AR235" s="41"/>
      <c r="AS235" s="41"/>
      <c r="AT235" s="41"/>
      <c r="AU235" s="41"/>
      <c r="AV235" s="41"/>
      <c r="AW235" s="41"/>
      <c r="AX235" s="41"/>
      <c r="AY235" s="10"/>
      <c r="AZ235" s="41"/>
      <c r="BA235" s="41"/>
      <c r="BB235" s="41"/>
      <c r="BC235" s="41"/>
      <c r="BD235" s="41"/>
      <c r="BE235" s="41"/>
    </row>
    <row r="236" spans="1:57" x14ac:dyDescent="0.25">
      <c r="A236" s="9">
        <v>230</v>
      </c>
      <c r="B236" s="48" t="s">
        <v>592</v>
      </c>
      <c r="C236" s="49" t="s">
        <v>672</v>
      </c>
      <c r="D236" s="6" t="s">
        <v>69</v>
      </c>
      <c r="E236" s="50" t="s">
        <v>72</v>
      </c>
      <c r="F236" s="51" t="s">
        <v>87</v>
      </c>
      <c r="G236" s="9"/>
      <c r="H236" s="9" t="s">
        <v>444</v>
      </c>
      <c r="I236" s="9" t="s">
        <v>74</v>
      </c>
      <c r="J236" s="9">
        <v>118</v>
      </c>
      <c r="K236" s="10" t="s">
        <v>96</v>
      </c>
      <c r="L236" s="13" t="s">
        <v>97</v>
      </c>
      <c r="M236" s="53" t="s">
        <v>673</v>
      </c>
      <c r="N236" s="9" t="s">
        <v>674</v>
      </c>
      <c r="O236" s="70"/>
      <c r="P236" s="13"/>
      <c r="Q236" s="10"/>
      <c r="R236" s="10"/>
      <c r="S236" s="10"/>
      <c r="T236" s="13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 t="s">
        <v>100</v>
      </c>
      <c r="AL236" s="10"/>
      <c r="AM236" s="9" t="s">
        <v>675</v>
      </c>
      <c r="AN236" s="10" t="s">
        <v>165</v>
      </c>
      <c r="AO236" s="72">
        <v>46282</v>
      </c>
      <c r="AP236" s="72">
        <v>46282</v>
      </c>
      <c r="AQ236" s="10">
        <v>22</v>
      </c>
      <c r="AR236" s="10" t="s">
        <v>103</v>
      </c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</row>
    <row r="237" spans="1:57" s="47" customFormat="1" x14ac:dyDescent="0.25">
      <c r="A237" s="41">
        <v>231</v>
      </c>
      <c r="B237" s="42" t="s">
        <v>592</v>
      </c>
      <c r="C237" s="43" t="s">
        <v>676</v>
      </c>
      <c r="D237" s="44" t="s">
        <v>69</v>
      </c>
      <c r="E237" s="45" t="s">
        <v>70</v>
      </c>
      <c r="F237" s="44" t="s">
        <v>70</v>
      </c>
      <c r="G237" s="44" t="s">
        <v>70</v>
      </c>
      <c r="H237" s="44" t="s">
        <v>70</v>
      </c>
      <c r="I237" s="44" t="s">
        <v>70</v>
      </c>
      <c r="J237" s="44" t="s">
        <v>70</v>
      </c>
      <c r="K237" s="44" t="s">
        <v>70</v>
      </c>
      <c r="L237" s="44" t="s">
        <v>70</v>
      </c>
      <c r="M237" s="45" t="s">
        <v>70</v>
      </c>
      <c r="N237" s="44" t="s">
        <v>70</v>
      </c>
      <c r="O237" s="67"/>
      <c r="P237" s="46"/>
      <c r="Q237" s="41"/>
      <c r="R237" s="41"/>
      <c r="S237" s="41"/>
      <c r="T237" s="46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72"/>
      <c r="AP237" s="72"/>
      <c r="AQ237" s="41"/>
      <c r="AR237" s="41"/>
      <c r="AS237" s="41"/>
      <c r="AT237" s="41"/>
      <c r="AU237" s="41"/>
      <c r="AV237" s="41"/>
      <c r="AW237" s="41"/>
      <c r="AX237" s="41"/>
      <c r="AY237" s="10"/>
      <c r="AZ237" s="41"/>
      <c r="BA237" s="41"/>
      <c r="BB237" s="41"/>
      <c r="BC237" s="41"/>
      <c r="BD237" s="41"/>
      <c r="BE237" s="41"/>
    </row>
    <row r="238" spans="1:57" s="47" customFormat="1" x14ac:dyDescent="0.25">
      <c r="A238" s="41">
        <v>232</v>
      </c>
      <c r="B238" s="42" t="s">
        <v>592</v>
      </c>
      <c r="C238" s="43" t="s">
        <v>677</v>
      </c>
      <c r="D238" s="44" t="s">
        <v>69</v>
      </c>
      <c r="E238" s="45" t="s">
        <v>70</v>
      </c>
      <c r="F238" s="44" t="s">
        <v>70</v>
      </c>
      <c r="G238" s="44" t="s">
        <v>70</v>
      </c>
      <c r="H238" s="44" t="s">
        <v>70</v>
      </c>
      <c r="I238" s="44" t="s">
        <v>70</v>
      </c>
      <c r="J238" s="44" t="s">
        <v>70</v>
      </c>
      <c r="K238" s="44" t="s">
        <v>70</v>
      </c>
      <c r="L238" s="44" t="s">
        <v>70</v>
      </c>
      <c r="M238" s="45" t="s">
        <v>70</v>
      </c>
      <c r="N238" s="44" t="s">
        <v>70</v>
      </c>
      <c r="O238" s="67"/>
      <c r="P238" s="46"/>
      <c r="Q238" s="41"/>
      <c r="R238" s="41"/>
      <c r="S238" s="41"/>
      <c r="T238" s="46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72"/>
      <c r="AP238" s="72"/>
      <c r="AQ238" s="41"/>
      <c r="AR238" s="41"/>
      <c r="AS238" s="41"/>
      <c r="AT238" s="41"/>
      <c r="AU238" s="41"/>
      <c r="AV238" s="41"/>
      <c r="AW238" s="41"/>
      <c r="AX238" s="41"/>
      <c r="AY238" s="10"/>
      <c r="AZ238" s="41"/>
      <c r="BA238" s="41"/>
      <c r="BB238" s="41"/>
      <c r="BC238" s="41"/>
      <c r="BD238" s="41"/>
      <c r="BE238" s="41"/>
    </row>
    <row r="239" spans="1:57" s="47" customFormat="1" x14ac:dyDescent="0.25">
      <c r="A239" s="41">
        <v>233</v>
      </c>
      <c r="B239" s="42" t="s">
        <v>592</v>
      </c>
      <c r="C239" s="43" t="s">
        <v>678</v>
      </c>
      <c r="D239" s="44" t="s">
        <v>69</v>
      </c>
      <c r="E239" s="45" t="s">
        <v>70</v>
      </c>
      <c r="F239" s="44" t="s">
        <v>70</v>
      </c>
      <c r="G239" s="44" t="s">
        <v>70</v>
      </c>
      <c r="H239" s="44" t="s">
        <v>70</v>
      </c>
      <c r="I239" s="44" t="s">
        <v>70</v>
      </c>
      <c r="J239" s="44" t="s">
        <v>70</v>
      </c>
      <c r="K239" s="44" t="s">
        <v>70</v>
      </c>
      <c r="L239" s="44" t="s">
        <v>70</v>
      </c>
      <c r="M239" s="45" t="s">
        <v>70</v>
      </c>
      <c r="N239" s="44" t="s">
        <v>70</v>
      </c>
      <c r="O239" s="67"/>
      <c r="P239" s="46"/>
      <c r="Q239" s="41"/>
      <c r="R239" s="41"/>
      <c r="S239" s="41"/>
      <c r="T239" s="46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 t="s">
        <v>679</v>
      </c>
      <c r="AM239" s="41"/>
      <c r="AN239" s="41"/>
      <c r="AO239" s="72"/>
      <c r="AP239" s="72"/>
      <c r="AQ239" s="41"/>
      <c r="AR239" s="41"/>
      <c r="AS239" s="41"/>
      <c r="AT239" s="41"/>
      <c r="AU239" s="41"/>
      <c r="AV239" s="41"/>
      <c r="AW239" s="41"/>
      <c r="AX239" s="41"/>
      <c r="AY239" s="10"/>
      <c r="AZ239" s="41"/>
      <c r="BA239" s="41"/>
      <c r="BB239" s="41"/>
      <c r="BC239" s="41"/>
      <c r="BD239" s="41"/>
      <c r="BE239" s="41"/>
    </row>
    <row r="240" spans="1:57" s="47" customFormat="1" x14ac:dyDescent="0.25">
      <c r="A240" s="41">
        <v>234</v>
      </c>
      <c r="B240" s="42" t="s">
        <v>592</v>
      </c>
      <c r="C240" s="43" t="s">
        <v>680</v>
      </c>
      <c r="D240" s="44" t="s">
        <v>69</v>
      </c>
      <c r="E240" s="45" t="s">
        <v>70</v>
      </c>
      <c r="F240" s="44" t="s">
        <v>70</v>
      </c>
      <c r="G240" s="44" t="s">
        <v>70</v>
      </c>
      <c r="H240" s="44" t="s">
        <v>70</v>
      </c>
      <c r="I240" s="44" t="s">
        <v>70</v>
      </c>
      <c r="J240" s="44" t="s">
        <v>70</v>
      </c>
      <c r="K240" s="44" t="s">
        <v>70</v>
      </c>
      <c r="L240" s="44" t="s">
        <v>70</v>
      </c>
      <c r="M240" s="45" t="s">
        <v>70</v>
      </c>
      <c r="N240" s="44" t="s">
        <v>70</v>
      </c>
      <c r="O240" s="67"/>
      <c r="P240" s="46"/>
      <c r="Q240" s="41"/>
      <c r="R240" s="41"/>
      <c r="S240" s="41"/>
      <c r="T240" s="46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72"/>
      <c r="AP240" s="72"/>
      <c r="AQ240" s="41"/>
      <c r="AR240" s="41"/>
      <c r="AS240" s="41"/>
      <c r="AT240" s="41"/>
      <c r="AU240" s="41"/>
      <c r="AV240" s="41"/>
      <c r="AW240" s="41"/>
      <c r="AX240" s="41"/>
      <c r="AY240" s="10"/>
      <c r="AZ240" s="41"/>
      <c r="BA240" s="41"/>
      <c r="BB240" s="41"/>
      <c r="BC240" s="41"/>
      <c r="BD240" s="41"/>
      <c r="BE240" s="41"/>
    </row>
    <row r="241" spans="1:57" x14ac:dyDescent="0.25">
      <c r="A241" s="9">
        <v>235</v>
      </c>
      <c r="B241" s="48" t="s">
        <v>592</v>
      </c>
      <c r="C241" s="49" t="s">
        <v>681</v>
      </c>
      <c r="D241" s="6" t="s">
        <v>69</v>
      </c>
      <c r="E241" s="50" t="s">
        <v>72</v>
      </c>
      <c r="F241" s="51" t="s">
        <v>87</v>
      </c>
      <c r="G241" s="9"/>
      <c r="H241" s="9" t="s">
        <v>292</v>
      </c>
      <c r="I241" s="9" t="s">
        <v>74</v>
      </c>
      <c r="J241" s="9">
        <v>38</v>
      </c>
      <c r="K241" s="10" t="s">
        <v>96</v>
      </c>
      <c r="L241" s="13" t="s">
        <v>97</v>
      </c>
      <c r="M241" s="53" t="s">
        <v>682</v>
      </c>
      <c r="N241" s="9" t="s">
        <v>683</v>
      </c>
      <c r="O241" s="70"/>
      <c r="P241" s="13"/>
      <c r="Q241" s="10"/>
      <c r="R241" s="10"/>
      <c r="S241" s="10"/>
      <c r="T241" s="13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 t="s">
        <v>100</v>
      </c>
      <c r="AL241" s="10"/>
      <c r="AM241" s="9" t="s">
        <v>684</v>
      </c>
      <c r="AN241" s="10" t="s">
        <v>165</v>
      </c>
      <c r="AO241" s="72">
        <v>46280</v>
      </c>
      <c r="AP241" s="72">
        <v>46280</v>
      </c>
      <c r="AQ241" s="10">
        <v>495</v>
      </c>
      <c r="AR241" s="10" t="s">
        <v>103</v>
      </c>
      <c r="AS241" s="10"/>
      <c r="AT241" s="10"/>
      <c r="AU241" s="10"/>
      <c r="AV241" s="10"/>
      <c r="AW241" s="10"/>
      <c r="AX241" s="10"/>
      <c r="AY241" s="10" t="s">
        <v>105</v>
      </c>
      <c r="AZ241" s="10"/>
      <c r="BA241" s="10"/>
      <c r="BB241" s="10"/>
      <c r="BC241" s="10"/>
      <c r="BD241" s="10"/>
      <c r="BE241" s="10"/>
    </row>
    <row r="242" spans="1:57" x14ac:dyDescent="0.25">
      <c r="A242" s="9">
        <v>236</v>
      </c>
      <c r="B242" s="48" t="s">
        <v>592</v>
      </c>
      <c r="C242" s="69" t="s">
        <v>685</v>
      </c>
      <c r="D242" s="6" t="s">
        <v>69</v>
      </c>
      <c r="E242" s="50" t="s">
        <v>72</v>
      </c>
      <c r="F242" s="51" t="s">
        <v>87</v>
      </c>
      <c r="G242" s="9"/>
      <c r="H242" s="15" t="s">
        <v>88</v>
      </c>
      <c r="I242" s="15">
        <v>9953391</v>
      </c>
      <c r="J242" s="10">
        <v>14</v>
      </c>
      <c r="K242" s="11" t="s">
        <v>89</v>
      </c>
      <c r="L242" s="12" t="s">
        <v>76</v>
      </c>
      <c r="M242" s="53" t="s">
        <v>390</v>
      </c>
      <c r="N242" s="1" t="s">
        <v>686</v>
      </c>
      <c r="O242" s="70"/>
      <c r="P242" s="13"/>
      <c r="Q242" s="10"/>
      <c r="R242" s="10"/>
      <c r="S242" s="10"/>
      <c r="T242" s="13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 t="s">
        <v>241</v>
      </c>
      <c r="AM242" s="10"/>
      <c r="AN242" s="10"/>
      <c r="AO242" s="72"/>
      <c r="AP242" s="72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</row>
    <row r="243" spans="1:57" x14ac:dyDescent="0.25">
      <c r="A243" s="9">
        <v>237</v>
      </c>
      <c r="B243" s="48" t="s">
        <v>592</v>
      </c>
      <c r="C243" s="49" t="s">
        <v>687</v>
      </c>
      <c r="D243" s="6" t="s">
        <v>69</v>
      </c>
      <c r="E243" s="50" t="s">
        <v>72</v>
      </c>
      <c r="F243" s="51" t="s">
        <v>87</v>
      </c>
      <c r="G243" s="53"/>
      <c r="H243" s="9">
        <v>4193</v>
      </c>
      <c r="I243" s="9" t="s">
        <v>74</v>
      </c>
      <c r="J243" s="54">
        <v>33</v>
      </c>
      <c r="K243" s="10" t="s">
        <v>96</v>
      </c>
      <c r="L243" s="13" t="s">
        <v>97</v>
      </c>
      <c r="M243" s="70" t="s">
        <v>688</v>
      </c>
      <c r="N243" s="9" t="s">
        <v>689</v>
      </c>
      <c r="O243" s="70"/>
      <c r="P243" s="13"/>
      <c r="Q243" s="10"/>
      <c r="R243" s="10"/>
      <c r="S243" s="10"/>
      <c r="T243" s="13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9" t="s">
        <v>100</v>
      </c>
      <c r="AL243" s="10"/>
      <c r="AM243" s="9" t="s">
        <v>690</v>
      </c>
      <c r="AN243" s="10" t="s">
        <v>165</v>
      </c>
      <c r="AO243" s="72">
        <v>46280</v>
      </c>
      <c r="AP243" s="72">
        <v>46280</v>
      </c>
      <c r="AQ243" s="10">
        <v>52</v>
      </c>
      <c r="AR243" s="10" t="s">
        <v>103</v>
      </c>
      <c r="AS243" s="10"/>
      <c r="AT243" s="10"/>
      <c r="AU243" s="10"/>
      <c r="AV243" s="10"/>
      <c r="AW243" s="10"/>
      <c r="AX243" s="10"/>
      <c r="AY243" s="10" t="s">
        <v>105</v>
      </c>
      <c r="AZ243" s="10"/>
      <c r="BA243" s="10"/>
      <c r="BB243" s="10"/>
      <c r="BC243" s="10"/>
      <c r="BD243" s="10"/>
      <c r="BE243" s="10"/>
    </row>
    <row r="244" spans="1:57" x14ac:dyDescent="0.25">
      <c r="A244" s="9">
        <v>238</v>
      </c>
      <c r="B244" s="48" t="s">
        <v>592</v>
      </c>
      <c r="C244" s="49" t="s">
        <v>691</v>
      </c>
      <c r="D244" s="6" t="s">
        <v>69</v>
      </c>
      <c r="E244" s="50" t="s">
        <v>72</v>
      </c>
      <c r="F244" s="51" t="s">
        <v>87</v>
      </c>
      <c r="G244" s="53"/>
      <c r="H244" s="16" t="s">
        <v>692</v>
      </c>
      <c r="I244" s="9" t="s">
        <v>74</v>
      </c>
      <c r="J244" s="54">
        <v>107</v>
      </c>
      <c r="K244" s="10" t="s">
        <v>96</v>
      </c>
      <c r="L244" s="13" t="s">
        <v>97</v>
      </c>
      <c r="M244" s="53" t="s">
        <v>693</v>
      </c>
      <c r="N244" s="9" t="s">
        <v>694</v>
      </c>
      <c r="O244" s="70"/>
      <c r="P244" s="13"/>
      <c r="Q244" s="10"/>
      <c r="R244" s="10"/>
      <c r="S244" s="10"/>
      <c r="T244" s="13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 t="s">
        <v>100</v>
      </c>
      <c r="AL244" s="10"/>
      <c r="AM244" s="9" t="s">
        <v>695</v>
      </c>
      <c r="AN244" s="10" t="s">
        <v>316</v>
      </c>
      <c r="AO244" s="72">
        <v>46281</v>
      </c>
      <c r="AP244" s="72">
        <v>46281</v>
      </c>
      <c r="AQ244" s="10">
        <v>115</v>
      </c>
      <c r="AR244" s="10" t="s">
        <v>103</v>
      </c>
      <c r="AS244" s="2" t="s">
        <v>696</v>
      </c>
      <c r="AT244" s="10"/>
      <c r="AU244" s="10"/>
      <c r="AV244" s="10"/>
      <c r="AW244" s="10"/>
      <c r="AX244" s="10"/>
      <c r="AY244" s="10" t="s">
        <v>318</v>
      </c>
      <c r="AZ244" s="10"/>
      <c r="BA244" s="10"/>
      <c r="BB244" s="10"/>
      <c r="BC244" s="10"/>
      <c r="BD244" s="10"/>
      <c r="BE244" s="10"/>
    </row>
    <row r="245" spans="1:57" x14ac:dyDescent="0.25">
      <c r="A245" s="9">
        <v>239</v>
      </c>
      <c r="B245" s="48" t="s">
        <v>592</v>
      </c>
      <c r="C245" s="49" t="s">
        <v>697</v>
      </c>
      <c r="D245" s="6" t="s">
        <v>69</v>
      </c>
      <c r="E245" s="50" t="s">
        <v>72</v>
      </c>
      <c r="F245" s="51" t="s">
        <v>87</v>
      </c>
      <c r="G245" s="53"/>
      <c r="H245" s="9">
        <v>4193</v>
      </c>
      <c r="I245" s="9" t="s">
        <v>74</v>
      </c>
      <c r="J245" s="54">
        <v>108</v>
      </c>
      <c r="K245" s="10" t="s">
        <v>96</v>
      </c>
      <c r="L245" s="13" t="s">
        <v>97</v>
      </c>
      <c r="M245" s="53" t="s">
        <v>698</v>
      </c>
      <c r="N245" s="3" t="s">
        <v>699</v>
      </c>
      <c r="O245" s="70"/>
      <c r="P245" s="13"/>
      <c r="Q245" s="10"/>
      <c r="R245" s="10"/>
      <c r="S245" s="10"/>
      <c r="T245" s="13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 t="s">
        <v>100</v>
      </c>
      <c r="AL245" s="10"/>
      <c r="AM245" s="9" t="s">
        <v>700</v>
      </c>
      <c r="AN245" s="10" t="s">
        <v>329</v>
      </c>
      <c r="AO245" s="72">
        <v>46281</v>
      </c>
      <c r="AP245" s="72">
        <v>46282</v>
      </c>
      <c r="AQ245" s="10">
        <v>309</v>
      </c>
      <c r="AR245" s="10" t="s">
        <v>103</v>
      </c>
      <c r="AS245" s="10"/>
      <c r="AT245" s="10"/>
      <c r="AU245" s="10"/>
      <c r="AV245" s="10"/>
      <c r="AW245" s="10"/>
      <c r="AX245" s="10"/>
      <c r="AY245" s="10" t="s">
        <v>330</v>
      </c>
      <c r="AZ245" s="10"/>
      <c r="BA245" s="10"/>
      <c r="BB245" s="10"/>
      <c r="BC245" s="10"/>
      <c r="BD245" s="10"/>
      <c r="BE245" s="10"/>
    </row>
    <row r="246" spans="1:57" s="47" customFormat="1" x14ac:dyDescent="0.25">
      <c r="A246" s="41">
        <v>240</v>
      </c>
      <c r="B246" s="42" t="s">
        <v>592</v>
      </c>
      <c r="C246" s="43" t="s">
        <v>701</v>
      </c>
      <c r="D246" s="44" t="s">
        <v>69</v>
      </c>
      <c r="E246" s="45" t="s">
        <v>70</v>
      </c>
      <c r="F246" s="44" t="s">
        <v>70</v>
      </c>
      <c r="G246" s="44" t="s">
        <v>70</v>
      </c>
      <c r="H246" s="55" t="s">
        <v>70</v>
      </c>
      <c r="I246" s="55" t="s">
        <v>70</v>
      </c>
      <c r="J246" s="44" t="s">
        <v>70</v>
      </c>
      <c r="K246" s="44" t="s">
        <v>70</v>
      </c>
      <c r="L246" s="44" t="s">
        <v>70</v>
      </c>
      <c r="M246" s="45" t="s">
        <v>70</v>
      </c>
      <c r="N246" s="44" t="s">
        <v>70</v>
      </c>
      <c r="O246" s="67"/>
      <c r="P246" s="46"/>
      <c r="Q246" s="41"/>
      <c r="R246" s="41"/>
      <c r="S246" s="41"/>
      <c r="T246" s="46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72"/>
      <c r="AP246" s="72"/>
      <c r="AQ246" s="41"/>
      <c r="AR246" s="41"/>
      <c r="AS246" s="41"/>
      <c r="AT246" s="41"/>
      <c r="AU246" s="41"/>
      <c r="AV246" s="41"/>
      <c r="AW246" s="41"/>
      <c r="AX246" s="41"/>
      <c r="AY246" s="10"/>
      <c r="AZ246" s="41"/>
      <c r="BA246" s="41"/>
      <c r="BB246" s="41"/>
      <c r="BC246" s="41"/>
      <c r="BD246" s="41"/>
      <c r="BE246" s="41"/>
    </row>
    <row r="247" spans="1:57" x14ac:dyDescent="0.25">
      <c r="A247" s="9">
        <v>241</v>
      </c>
      <c r="B247" s="48" t="s">
        <v>592</v>
      </c>
      <c r="C247" s="49" t="s">
        <v>702</v>
      </c>
      <c r="D247" s="6" t="s">
        <v>69</v>
      </c>
      <c r="E247" s="50" t="s">
        <v>72</v>
      </c>
      <c r="F247" s="51" t="s">
        <v>87</v>
      </c>
      <c r="G247" s="53"/>
      <c r="H247" s="9">
        <v>4193</v>
      </c>
      <c r="I247" s="9" t="s">
        <v>74</v>
      </c>
      <c r="J247" s="54">
        <v>105</v>
      </c>
      <c r="K247" s="10" t="s">
        <v>96</v>
      </c>
      <c r="L247" s="13" t="s">
        <v>97</v>
      </c>
      <c r="M247" s="53" t="s">
        <v>703</v>
      </c>
      <c r="N247" s="9" t="s">
        <v>704</v>
      </c>
      <c r="O247" s="70"/>
      <c r="P247" s="13"/>
      <c r="Q247" s="10"/>
      <c r="R247" s="10"/>
      <c r="S247" s="10"/>
      <c r="T247" s="13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 t="s">
        <v>100</v>
      </c>
      <c r="AL247" s="10"/>
      <c r="AM247" s="9" t="s">
        <v>705</v>
      </c>
      <c r="AN247" s="10" t="s">
        <v>329</v>
      </c>
      <c r="AO247" s="72">
        <v>46281</v>
      </c>
      <c r="AP247" s="72">
        <v>46281</v>
      </c>
      <c r="AQ247" s="10">
        <v>129</v>
      </c>
      <c r="AR247" s="10" t="s">
        <v>103</v>
      </c>
      <c r="AS247" s="10"/>
      <c r="AT247" s="10"/>
      <c r="AU247" s="10"/>
      <c r="AV247" s="10"/>
      <c r="AW247" s="10"/>
      <c r="AX247" s="10"/>
      <c r="AY247" s="10" t="s">
        <v>330</v>
      </c>
      <c r="AZ247" s="10"/>
      <c r="BA247" s="10"/>
      <c r="BB247" s="10"/>
      <c r="BC247" s="10"/>
      <c r="BD247" s="10"/>
      <c r="BE247" s="10"/>
    </row>
    <row r="248" spans="1:57" x14ac:dyDescent="0.25">
      <c r="A248" s="9">
        <v>242</v>
      </c>
      <c r="B248" s="48" t="s">
        <v>592</v>
      </c>
      <c r="C248" s="49" t="s">
        <v>706</v>
      </c>
      <c r="D248" s="6" t="s">
        <v>69</v>
      </c>
      <c r="E248" s="50" t="s">
        <v>72</v>
      </c>
      <c r="F248" s="51" t="s">
        <v>87</v>
      </c>
      <c r="G248" s="53"/>
      <c r="H248" s="16" t="s">
        <v>116</v>
      </c>
      <c r="I248" s="9" t="s">
        <v>74</v>
      </c>
      <c r="J248" s="54">
        <v>40</v>
      </c>
      <c r="K248" s="10" t="s">
        <v>96</v>
      </c>
      <c r="L248" s="13" t="s">
        <v>97</v>
      </c>
      <c r="M248" s="53" t="s">
        <v>707</v>
      </c>
      <c r="N248" s="9" t="s">
        <v>708</v>
      </c>
      <c r="O248" s="70"/>
      <c r="P248" s="13"/>
      <c r="Q248" s="10"/>
      <c r="R248" s="10"/>
      <c r="S248" s="10"/>
      <c r="T248" s="13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 t="s">
        <v>100</v>
      </c>
      <c r="AL248" s="10"/>
      <c r="AM248" s="9" t="s">
        <v>709</v>
      </c>
      <c r="AN248" s="10" t="s">
        <v>296</v>
      </c>
      <c r="AO248" s="72">
        <v>46280</v>
      </c>
      <c r="AP248" s="72">
        <v>46280</v>
      </c>
      <c r="AQ248" s="10">
        <v>96</v>
      </c>
      <c r="AR248" s="10" t="s">
        <v>103</v>
      </c>
      <c r="AS248" s="2" t="s">
        <v>710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</row>
    <row r="249" spans="1:57" x14ac:dyDescent="0.25">
      <c r="A249" s="9">
        <v>243</v>
      </c>
      <c r="B249" s="48" t="s">
        <v>592</v>
      </c>
      <c r="C249" s="49" t="s">
        <v>711</v>
      </c>
      <c r="D249" s="6" t="s">
        <v>69</v>
      </c>
      <c r="E249" s="50" t="s">
        <v>72</v>
      </c>
      <c r="F249" s="51" t="s">
        <v>87</v>
      </c>
      <c r="G249" s="53"/>
      <c r="H249" s="16" t="s">
        <v>116</v>
      </c>
      <c r="I249" s="9" t="s">
        <v>74</v>
      </c>
      <c r="J249" s="54">
        <v>24</v>
      </c>
      <c r="K249" s="10" t="s">
        <v>96</v>
      </c>
      <c r="L249" s="13" t="s">
        <v>97</v>
      </c>
      <c r="M249" s="53" t="s">
        <v>693</v>
      </c>
      <c r="N249" s="9" t="s">
        <v>712</v>
      </c>
      <c r="O249" s="70"/>
      <c r="P249" s="13"/>
      <c r="Q249" s="10"/>
      <c r="R249" s="10"/>
      <c r="S249" s="10"/>
      <c r="T249" s="13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 t="s">
        <v>100</v>
      </c>
      <c r="AL249" s="10"/>
      <c r="AM249" s="9" t="s">
        <v>713</v>
      </c>
      <c r="AN249" s="10" t="s">
        <v>316</v>
      </c>
      <c r="AO249" s="72">
        <v>46280</v>
      </c>
      <c r="AP249" s="72">
        <v>46280</v>
      </c>
      <c r="AQ249" s="10">
        <v>75</v>
      </c>
      <c r="AR249" s="10" t="s">
        <v>103</v>
      </c>
      <c r="AS249" s="2" t="s">
        <v>714</v>
      </c>
      <c r="AT249" s="10"/>
      <c r="AU249" s="10"/>
      <c r="AV249" s="10"/>
      <c r="AW249" s="10"/>
      <c r="AX249" s="10"/>
      <c r="AY249" s="10" t="s">
        <v>318</v>
      </c>
      <c r="AZ249" s="10"/>
      <c r="BA249" s="10"/>
      <c r="BB249" s="10"/>
      <c r="BC249" s="10"/>
      <c r="BD249" s="10"/>
      <c r="BE249" s="10"/>
    </row>
    <row r="250" spans="1:57" x14ac:dyDescent="0.25">
      <c r="A250" s="9">
        <v>244</v>
      </c>
      <c r="B250" s="48" t="s">
        <v>592</v>
      </c>
      <c r="C250" s="49" t="s">
        <v>715</v>
      </c>
      <c r="D250" s="6" t="s">
        <v>69</v>
      </c>
      <c r="E250" s="50" t="s">
        <v>72</v>
      </c>
      <c r="F250" s="51" t="s">
        <v>87</v>
      </c>
      <c r="G250" s="53"/>
      <c r="H250" s="16" t="s">
        <v>292</v>
      </c>
      <c r="I250" s="9" t="s">
        <v>74</v>
      </c>
      <c r="J250" s="54">
        <v>99</v>
      </c>
      <c r="K250" s="10" t="s">
        <v>96</v>
      </c>
      <c r="L250" s="13" t="s">
        <v>97</v>
      </c>
      <c r="M250" s="53" t="s">
        <v>716</v>
      </c>
      <c r="N250" s="9" t="s">
        <v>717</v>
      </c>
      <c r="O250" s="70"/>
      <c r="P250" s="13"/>
      <c r="Q250" s="10"/>
      <c r="R250" s="10"/>
      <c r="S250" s="10"/>
      <c r="T250" s="13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9" t="s">
        <v>100</v>
      </c>
      <c r="AL250" s="10"/>
      <c r="AM250" s="9" t="s">
        <v>718</v>
      </c>
      <c r="AN250" s="10" t="s">
        <v>206</v>
      </c>
      <c r="AO250" s="72">
        <v>46281</v>
      </c>
      <c r="AP250" s="72">
        <v>46281</v>
      </c>
      <c r="AQ250" s="10">
        <v>573</v>
      </c>
      <c r="AR250" s="10" t="s">
        <v>103</v>
      </c>
      <c r="AS250" s="2" t="s">
        <v>714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</row>
    <row r="251" spans="1:57" s="47" customFormat="1" x14ac:dyDescent="0.25">
      <c r="A251" s="41">
        <v>245</v>
      </c>
      <c r="B251" s="42" t="s">
        <v>592</v>
      </c>
      <c r="C251" s="43" t="s">
        <v>719</v>
      </c>
      <c r="D251" s="44" t="s">
        <v>69</v>
      </c>
      <c r="E251" s="45" t="s">
        <v>70</v>
      </c>
      <c r="F251" s="44" t="s">
        <v>70</v>
      </c>
      <c r="G251" s="44" t="s">
        <v>70</v>
      </c>
      <c r="H251" s="55" t="s">
        <v>70</v>
      </c>
      <c r="I251" s="55" t="s">
        <v>70</v>
      </c>
      <c r="J251" s="44" t="s">
        <v>70</v>
      </c>
      <c r="K251" s="44" t="s">
        <v>70</v>
      </c>
      <c r="L251" s="44" t="s">
        <v>70</v>
      </c>
      <c r="M251" s="45" t="s">
        <v>70</v>
      </c>
      <c r="N251" s="44" t="s">
        <v>70</v>
      </c>
      <c r="O251" s="67"/>
      <c r="P251" s="46"/>
      <c r="Q251" s="41"/>
      <c r="R251" s="41"/>
      <c r="S251" s="41"/>
      <c r="T251" s="46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72"/>
      <c r="AP251" s="72"/>
      <c r="AQ251" s="41"/>
      <c r="AR251" s="41"/>
      <c r="AS251" s="41"/>
      <c r="AT251" s="41"/>
      <c r="AU251" s="41"/>
      <c r="AV251" s="41"/>
      <c r="AW251" s="41"/>
      <c r="AX251" s="41"/>
      <c r="AY251" s="10"/>
      <c r="AZ251" s="41"/>
      <c r="BA251" s="41"/>
      <c r="BB251" s="41"/>
      <c r="BC251" s="41"/>
      <c r="BD251" s="41"/>
      <c r="BE251" s="41"/>
    </row>
    <row r="252" spans="1:57" x14ac:dyDescent="0.25">
      <c r="A252" s="9">
        <v>246</v>
      </c>
      <c r="B252" s="48" t="s">
        <v>592</v>
      </c>
      <c r="C252" s="49" t="s">
        <v>720</v>
      </c>
      <c r="D252" s="6" t="s">
        <v>69</v>
      </c>
      <c r="E252" s="50" t="s">
        <v>72</v>
      </c>
      <c r="F252" s="51" t="s">
        <v>87</v>
      </c>
      <c r="G252" s="53"/>
      <c r="H252" s="9" t="s">
        <v>444</v>
      </c>
      <c r="I252" s="9" t="s">
        <v>74</v>
      </c>
      <c r="J252" s="54">
        <v>60</v>
      </c>
      <c r="K252" s="10" t="s">
        <v>96</v>
      </c>
      <c r="L252" s="13" t="s">
        <v>97</v>
      </c>
      <c r="M252" s="53" t="s">
        <v>716</v>
      </c>
      <c r="N252" s="9" t="s">
        <v>721</v>
      </c>
      <c r="O252" s="70"/>
      <c r="P252" s="13"/>
      <c r="Q252" s="10"/>
      <c r="R252" s="10"/>
      <c r="S252" s="10"/>
      <c r="T252" s="13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 t="s">
        <v>100</v>
      </c>
      <c r="AL252" s="10"/>
      <c r="AM252" s="9" t="s">
        <v>722</v>
      </c>
      <c r="AN252" s="10" t="s">
        <v>175</v>
      </c>
      <c r="AO252" s="72"/>
      <c r="AP252" s="72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</row>
    <row r="253" spans="1:57" x14ac:dyDescent="0.25">
      <c r="A253" s="9">
        <v>247</v>
      </c>
      <c r="B253" s="48" t="s">
        <v>592</v>
      </c>
      <c r="C253" s="69" t="s">
        <v>723</v>
      </c>
      <c r="D253" s="6" t="s">
        <v>69</v>
      </c>
      <c r="E253" s="50" t="s">
        <v>72</v>
      </c>
      <c r="F253" s="51" t="s">
        <v>87</v>
      </c>
      <c r="G253" s="53"/>
      <c r="H253" s="9" t="s">
        <v>88</v>
      </c>
      <c r="I253" s="9">
        <v>9953391</v>
      </c>
      <c r="J253" s="54">
        <v>8</v>
      </c>
      <c r="K253" s="11" t="s">
        <v>89</v>
      </c>
      <c r="L253" s="12" t="s">
        <v>76</v>
      </c>
      <c r="M253" s="53" t="s">
        <v>612</v>
      </c>
      <c r="N253" s="3" t="s">
        <v>654</v>
      </c>
      <c r="O253" s="70"/>
      <c r="P253" s="13"/>
      <c r="Q253" s="10"/>
      <c r="R253" s="10"/>
      <c r="S253" s="10"/>
      <c r="T253" s="13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72"/>
      <c r="AP253" s="72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</row>
    <row r="254" spans="1:57" x14ac:dyDescent="0.25">
      <c r="A254" s="9">
        <v>248</v>
      </c>
      <c r="B254" s="48" t="s">
        <v>592</v>
      </c>
      <c r="C254" s="49" t="s">
        <v>724</v>
      </c>
      <c r="D254" s="6" t="s">
        <v>69</v>
      </c>
      <c r="E254" s="50" t="s">
        <v>72</v>
      </c>
      <c r="F254" s="51" t="s">
        <v>87</v>
      </c>
      <c r="G254" s="53"/>
      <c r="H254" s="16" t="s">
        <v>292</v>
      </c>
      <c r="I254" s="9" t="s">
        <v>74</v>
      </c>
      <c r="J254" s="54">
        <v>90</v>
      </c>
      <c r="K254" s="9" t="s">
        <v>96</v>
      </c>
      <c r="L254" s="9" t="s">
        <v>97</v>
      </c>
      <c r="M254" s="53" t="s">
        <v>320</v>
      </c>
      <c r="N254" s="9" t="s">
        <v>725</v>
      </c>
      <c r="O254" s="70"/>
      <c r="P254" s="13"/>
      <c r="Q254" s="10"/>
      <c r="R254" s="10"/>
      <c r="S254" s="10"/>
      <c r="T254" s="13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9" t="s">
        <v>100</v>
      </c>
      <c r="AL254" s="10"/>
      <c r="AM254" s="9" t="s">
        <v>726</v>
      </c>
      <c r="AN254" s="10" t="s">
        <v>316</v>
      </c>
      <c r="AO254" s="72">
        <v>46280</v>
      </c>
      <c r="AP254" s="72">
        <v>46281</v>
      </c>
      <c r="AQ254" s="10">
        <v>245</v>
      </c>
      <c r="AR254" s="10" t="s">
        <v>103</v>
      </c>
      <c r="AS254" s="2" t="s">
        <v>727</v>
      </c>
      <c r="AT254" s="10"/>
      <c r="AU254" s="10"/>
      <c r="AV254" s="10"/>
      <c r="AW254" s="10"/>
      <c r="AX254" s="10"/>
      <c r="AY254" s="10" t="s">
        <v>318</v>
      </c>
      <c r="AZ254" s="10"/>
      <c r="BA254" s="10"/>
      <c r="BB254" s="10"/>
      <c r="BC254" s="10"/>
      <c r="BD254" s="10"/>
      <c r="BE254" s="10"/>
    </row>
    <row r="255" spans="1:57" x14ac:dyDescent="0.25">
      <c r="A255" s="9">
        <v>249</v>
      </c>
      <c r="B255" s="48" t="s">
        <v>592</v>
      </c>
      <c r="C255" s="49" t="s">
        <v>728</v>
      </c>
      <c r="D255" s="6" t="s">
        <v>69</v>
      </c>
      <c r="E255" s="50" t="s">
        <v>72</v>
      </c>
      <c r="F255" s="51" t="s">
        <v>87</v>
      </c>
      <c r="G255" s="53"/>
      <c r="H255" s="16" t="s">
        <v>116</v>
      </c>
      <c r="I255" s="9" t="s">
        <v>74</v>
      </c>
      <c r="J255" s="54">
        <v>140</v>
      </c>
      <c r="K255" s="9" t="s">
        <v>96</v>
      </c>
      <c r="L255" s="9" t="s">
        <v>97</v>
      </c>
      <c r="M255" s="53" t="s">
        <v>729</v>
      </c>
      <c r="N255" s="9" t="s">
        <v>730</v>
      </c>
      <c r="O255" s="70"/>
      <c r="P255" s="13"/>
      <c r="Q255" s="10"/>
      <c r="R255" s="10"/>
      <c r="S255" s="10"/>
      <c r="T255" s="13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 t="s">
        <v>100</v>
      </c>
      <c r="AL255" s="10"/>
      <c r="AM255" s="9" t="s">
        <v>731</v>
      </c>
      <c r="AN255" s="10" t="s">
        <v>206</v>
      </c>
      <c r="AO255" s="72">
        <v>46282</v>
      </c>
      <c r="AP255" s="72"/>
      <c r="AQ255" s="10">
        <v>266</v>
      </c>
      <c r="AR255" s="10" t="s">
        <v>393</v>
      </c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</row>
    <row r="256" spans="1:57" x14ac:dyDescent="0.25">
      <c r="A256" s="9">
        <v>250</v>
      </c>
      <c r="B256" s="48" t="s">
        <v>592</v>
      </c>
      <c r="C256" s="49" t="s">
        <v>732</v>
      </c>
      <c r="D256" s="6" t="s">
        <v>69</v>
      </c>
      <c r="E256" s="50" t="s">
        <v>72</v>
      </c>
      <c r="F256" s="51" t="s">
        <v>87</v>
      </c>
      <c r="G256" s="53"/>
      <c r="H256" s="9" t="s">
        <v>88</v>
      </c>
      <c r="I256" s="9" t="s">
        <v>74</v>
      </c>
      <c r="J256" s="54">
        <v>699</v>
      </c>
      <c r="K256" s="9" t="s">
        <v>96</v>
      </c>
      <c r="L256" s="9" t="s">
        <v>97</v>
      </c>
      <c r="M256" s="53" t="s">
        <v>733</v>
      </c>
      <c r="N256" s="9" t="s">
        <v>734</v>
      </c>
      <c r="O256" s="70"/>
      <c r="P256" s="13"/>
      <c r="Q256" s="10"/>
      <c r="R256" s="10"/>
      <c r="S256" s="10"/>
      <c r="T256" s="13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9" t="s">
        <v>100</v>
      </c>
      <c r="AL256" s="10"/>
      <c r="AM256" s="9" t="s">
        <v>735</v>
      </c>
      <c r="AN256" s="10" t="s">
        <v>175</v>
      </c>
      <c r="AO256" s="72">
        <v>46281</v>
      </c>
      <c r="AP256" s="72">
        <v>46282</v>
      </c>
      <c r="AQ256" s="10">
        <f>655+423</f>
        <v>1078</v>
      </c>
      <c r="AR256" s="10" t="s">
        <v>103</v>
      </c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</row>
    <row r="257" spans="1:57" x14ac:dyDescent="0.25">
      <c r="A257" s="9">
        <v>251</v>
      </c>
      <c r="B257" s="48" t="s">
        <v>592</v>
      </c>
      <c r="C257" s="49" t="s">
        <v>736</v>
      </c>
      <c r="D257" s="6" t="s">
        <v>69</v>
      </c>
      <c r="E257" s="50" t="s">
        <v>72</v>
      </c>
      <c r="F257" s="51" t="s">
        <v>87</v>
      </c>
      <c r="G257" s="9"/>
      <c r="H257" s="9" t="s">
        <v>88</v>
      </c>
      <c r="I257" s="9">
        <v>9953391</v>
      </c>
      <c r="J257" s="9">
        <v>37</v>
      </c>
      <c r="K257" s="9" t="s">
        <v>89</v>
      </c>
      <c r="L257" s="9" t="s">
        <v>76</v>
      </c>
      <c r="M257" s="53" t="s">
        <v>548</v>
      </c>
      <c r="N257" s="9" t="s">
        <v>737</v>
      </c>
      <c r="O257" s="70"/>
      <c r="P257" s="13"/>
      <c r="Q257" s="10"/>
      <c r="R257" s="10"/>
      <c r="S257" s="10"/>
      <c r="T257" s="13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72"/>
      <c r="AP257" s="72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</row>
    <row r="258" spans="1:57" s="47" customFormat="1" x14ac:dyDescent="0.25">
      <c r="A258" s="41">
        <v>252</v>
      </c>
      <c r="B258" s="42" t="s">
        <v>592</v>
      </c>
      <c r="C258" s="43" t="s">
        <v>738</v>
      </c>
      <c r="D258" s="44" t="s">
        <v>69</v>
      </c>
      <c r="E258" s="45" t="s">
        <v>70</v>
      </c>
      <c r="F258" s="44" t="s">
        <v>70</v>
      </c>
      <c r="G258" s="44" t="s">
        <v>70</v>
      </c>
      <c r="H258" s="44" t="s">
        <v>70</v>
      </c>
      <c r="I258" s="44" t="s">
        <v>70</v>
      </c>
      <c r="J258" s="44" t="s">
        <v>70</v>
      </c>
      <c r="K258" s="44" t="s">
        <v>70</v>
      </c>
      <c r="L258" s="44" t="s">
        <v>70</v>
      </c>
      <c r="M258" s="45" t="s">
        <v>70</v>
      </c>
      <c r="N258" s="44" t="s">
        <v>70</v>
      </c>
      <c r="O258" s="67"/>
      <c r="P258" s="46"/>
      <c r="Q258" s="41"/>
      <c r="R258" s="41"/>
      <c r="S258" s="41"/>
      <c r="T258" s="46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72"/>
      <c r="AP258" s="72"/>
      <c r="AQ258" s="41"/>
      <c r="AR258" s="41"/>
      <c r="AS258" s="41"/>
      <c r="AT258" s="41"/>
      <c r="AU258" s="41"/>
      <c r="AV258" s="41"/>
      <c r="AW258" s="41"/>
      <c r="AX258" s="41"/>
      <c r="AY258" s="10"/>
      <c r="AZ258" s="41"/>
      <c r="BA258" s="41"/>
      <c r="BB258" s="41"/>
      <c r="BC258" s="41"/>
      <c r="BD258" s="41"/>
      <c r="BE258" s="41"/>
    </row>
    <row r="259" spans="1:57" x14ac:dyDescent="0.25">
      <c r="A259" s="9">
        <v>253</v>
      </c>
      <c r="B259" s="48" t="s">
        <v>592</v>
      </c>
      <c r="C259" s="49" t="s">
        <v>739</v>
      </c>
      <c r="D259" s="6" t="s">
        <v>69</v>
      </c>
      <c r="E259" s="50" t="s">
        <v>72</v>
      </c>
      <c r="F259" s="51" t="s">
        <v>87</v>
      </c>
      <c r="G259" s="9"/>
      <c r="H259" s="9" t="s">
        <v>88</v>
      </c>
      <c r="I259" s="9">
        <v>9953391</v>
      </c>
      <c r="J259" s="9">
        <v>7</v>
      </c>
      <c r="K259" s="9" t="s">
        <v>96</v>
      </c>
      <c r="L259" s="9" t="s">
        <v>97</v>
      </c>
      <c r="M259" s="53" t="s">
        <v>612</v>
      </c>
      <c r="N259" s="9" t="s">
        <v>740</v>
      </c>
      <c r="O259" s="70"/>
      <c r="P259" s="13"/>
      <c r="Q259" s="10"/>
      <c r="R259" s="10"/>
      <c r="S259" s="10"/>
      <c r="T259" s="13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75" t="s">
        <v>100</v>
      </c>
      <c r="AL259" s="10"/>
      <c r="AM259" s="9">
        <v>3</v>
      </c>
      <c r="AN259" s="10" t="s">
        <v>656</v>
      </c>
      <c r="AO259" s="72">
        <v>46279</v>
      </c>
      <c r="AP259" s="72">
        <v>46279</v>
      </c>
      <c r="AQ259" s="10">
        <v>24</v>
      </c>
      <c r="AR259" s="10" t="s">
        <v>103</v>
      </c>
      <c r="AS259" s="10"/>
      <c r="AT259" s="10"/>
      <c r="AU259" s="10"/>
      <c r="AV259" s="10"/>
      <c r="AW259" s="10"/>
      <c r="AX259" s="10"/>
      <c r="AY259" s="10" t="s">
        <v>330</v>
      </c>
      <c r="AZ259" s="72">
        <v>46282</v>
      </c>
      <c r="BA259" s="72">
        <v>46282</v>
      </c>
      <c r="BB259" s="10">
        <v>24</v>
      </c>
      <c r="BC259" s="10" t="s">
        <v>103</v>
      </c>
      <c r="BD259" s="10"/>
      <c r="BE259" s="10"/>
    </row>
    <row r="260" spans="1:57" x14ac:dyDescent="0.25">
      <c r="A260" s="9">
        <v>254</v>
      </c>
      <c r="B260" s="48" t="s">
        <v>592</v>
      </c>
      <c r="C260" s="69" t="s">
        <v>741</v>
      </c>
      <c r="D260" s="6" t="s">
        <v>69</v>
      </c>
      <c r="E260" s="50" t="s">
        <v>72</v>
      </c>
      <c r="F260" s="51" t="s">
        <v>87</v>
      </c>
      <c r="G260" s="9"/>
      <c r="H260" s="9" t="s">
        <v>88</v>
      </c>
      <c r="I260" s="9">
        <v>9953391</v>
      </c>
      <c r="J260" s="9">
        <v>3</v>
      </c>
      <c r="K260" s="11" t="s">
        <v>89</v>
      </c>
      <c r="L260" s="12" t="s">
        <v>76</v>
      </c>
      <c r="M260" s="53" t="s">
        <v>177</v>
      </c>
      <c r="N260" s="9" t="s">
        <v>742</v>
      </c>
      <c r="O260" s="70"/>
      <c r="P260" s="13"/>
      <c r="Q260" s="10"/>
      <c r="R260" s="10"/>
      <c r="S260" s="10"/>
      <c r="T260" s="13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72"/>
      <c r="AP260" s="72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</row>
    <row r="261" spans="1:57" x14ac:dyDescent="0.25">
      <c r="A261" s="9">
        <v>255</v>
      </c>
      <c r="B261" s="48" t="s">
        <v>592</v>
      </c>
      <c r="C261" s="49" t="s">
        <v>743</v>
      </c>
      <c r="D261" s="6" t="s">
        <v>69</v>
      </c>
      <c r="E261" s="50" t="s">
        <v>72</v>
      </c>
      <c r="F261" s="51" t="s">
        <v>87</v>
      </c>
      <c r="G261" s="9"/>
      <c r="H261" s="9" t="s">
        <v>88</v>
      </c>
      <c r="I261" s="9">
        <v>9953391</v>
      </c>
      <c r="J261" s="9">
        <v>17</v>
      </c>
      <c r="K261" s="9" t="s">
        <v>96</v>
      </c>
      <c r="L261" s="9" t="s">
        <v>97</v>
      </c>
      <c r="M261" s="53" t="s">
        <v>597</v>
      </c>
      <c r="N261" s="9" t="s">
        <v>597</v>
      </c>
      <c r="O261" s="70"/>
      <c r="P261" s="13"/>
      <c r="Q261" s="10"/>
      <c r="R261" s="10"/>
      <c r="S261" s="10"/>
      <c r="T261" s="13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 t="s">
        <v>100</v>
      </c>
      <c r="AL261" s="10"/>
      <c r="AM261" s="9" t="s">
        <v>744</v>
      </c>
      <c r="AN261" s="10" t="s">
        <v>165</v>
      </c>
      <c r="AO261" s="72"/>
      <c r="AP261" s="72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</row>
    <row r="262" spans="1:57" x14ac:dyDescent="0.25">
      <c r="A262" s="9">
        <v>256</v>
      </c>
      <c r="B262" s="48" t="s">
        <v>745</v>
      </c>
      <c r="C262" s="49" t="s">
        <v>746</v>
      </c>
      <c r="D262" s="6" t="s">
        <v>69</v>
      </c>
      <c r="E262" s="50" t="s">
        <v>72</v>
      </c>
      <c r="F262" s="51" t="s">
        <v>87</v>
      </c>
      <c r="G262" s="9"/>
      <c r="H262" s="9" t="s">
        <v>427</v>
      </c>
      <c r="I262" s="9">
        <v>9953391</v>
      </c>
      <c r="J262" s="9">
        <v>140</v>
      </c>
      <c r="K262" s="9" t="s">
        <v>96</v>
      </c>
      <c r="L262" s="9" t="s">
        <v>97</v>
      </c>
      <c r="M262" s="53" t="s">
        <v>390</v>
      </c>
      <c r="N262" s="9" t="s">
        <v>391</v>
      </c>
      <c r="O262" s="70"/>
      <c r="P262" s="13"/>
      <c r="Q262" s="10"/>
      <c r="R262" s="10"/>
      <c r="S262" s="10"/>
      <c r="T262" s="13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 t="s">
        <v>100</v>
      </c>
      <c r="AL262" s="10"/>
      <c r="AM262" s="9" t="s">
        <v>747</v>
      </c>
      <c r="AN262" s="10" t="s">
        <v>316</v>
      </c>
      <c r="AO262" s="72"/>
      <c r="AP262" s="72"/>
      <c r="AQ262" s="10"/>
      <c r="AR262" s="10"/>
      <c r="AS262" s="10"/>
      <c r="AT262" s="10"/>
      <c r="AU262" s="10"/>
      <c r="AV262" s="10"/>
      <c r="AW262" s="10"/>
      <c r="AX262" s="10"/>
      <c r="AY262" s="10" t="s">
        <v>318</v>
      </c>
      <c r="AZ262" s="10"/>
      <c r="BA262" s="10"/>
      <c r="BB262" s="10"/>
      <c r="BC262" s="10"/>
      <c r="BD262" s="10"/>
      <c r="BE262" s="10"/>
    </row>
    <row r="263" spans="1:57" x14ac:dyDescent="0.25">
      <c r="A263" s="9">
        <v>257</v>
      </c>
      <c r="B263" s="48" t="s">
        <v>745</v>
      </c>
      <c r="C263" s="49" t="s">
        <v>394</v>
      </c>
      <c r="D263" s="6" t="s">
        <v>69</v>
      </c>
      <c r="E263" s="50" t="s">
        <v>72</v>
      </c>
      <c r="F263" s="51" t="s">
        <v>87</v>
      </c>
      <c r="G263" s="9"/>
      <c r="H263" s="9" t="s">
        <v>74</v>
      </c>
      <c r="I263" s="9" t="s">
        <v>74</v>
      </c>
      <c r="J263" s="9">
        <v>66</v>
      </c>
      <c r="K263" s="9" t="s">
        <v>748</v>
      </c>
      <c r="L263" s="9" t="s">
        <v>748</v>
      </c>
      <c r="M263" s="53" t="s">
        <v>390</v>
      </c>
      <c r="N263" s="9" t="s">
        <v>391</v>
      </c>
      <c r="O263" s="70"/>
      <c r="P263" s="13"/>
      <c r="Q263" s="10"/>
      <c r="R263" s="10"/>
      <c r="S263" s="10"/>
      <c r="T263" s="13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 t="s">
        <v>749</v>
      </c>
      <c r="AM263" s="10"/>
      <c r="AN263" s="10"/>
      <c r="AO263" s="72"/>
      <c r="AP263" s="72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</row>
    <row r="264" spans="1:57" ht="45" x14ac:dyDescent="0.25">
      <c r="A264" s="9">
        <v>258</v>
      </c>
      <c r="B264" s="48" t="s">
        <v>750</v>
      </c>
      <c r="C264" s="49" t="s">
        <v>751</v>
      </c>
      <c r="D264" s="6" t="s">
        <v>69</v>
      </c>
      <c r="E264" s="50" t="s">
        <v>72</v>
      </c>
      <c r="F264" s="51" t="s">
        <v>87</v>
      </c>
      <c r="G264" s="9"/>
      <c r="H264" s="58" t="s">
        <v>752</v>
      </c>
      <c r="I264" s="9" t="s">
        <v>74</v>
      </c>
      <c r="J264" s="9">
        <v>31</v>
      </c>
      <c r="K264" s="9" t="s">
        <v>96</v>
      </c>
      <c r="L264" s="9" t="s">
        <v>97</v>
      </c>
      <c r="M264" s="53" t="s">
        <v>548</v>
      </c>
      <c r="N264" s="9" t="s">
        <v>753</v>
      </c>
      <c r="O264" s="70"/>
      <c r="P264" s="13"/>
      <c r="Q264" s="10"/>
      <c r="R264" s="10"/>
      <c r="S264" s="10"/>
      <c r="T264" s="13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 t="s">
        <v>100</v>
      </c>
      <c r="AL264" s="10"/>
      <c r="AM264" s="9" t="s">
        <v>754</v>
      </c>
      <c r="AN264" s="10" t="s">
        <v>330</v>
      </c>
      <c r="AO264" s="72">
        <v>46281</v>
      </c>
      <c r="AP264" s="72">
        <v>46281</v>
      </c>
      <c r="AQ264" s="10">
        <v>216</v>
      </c>
      <c r="AR264" s="10" t="s">
        <v>103</v>
      </c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</row>
    <row r="265" spans="1:57" s="47" customFormat="1" x14ac:dyDescent="0.25">
      <c r="A265" s="41">
        <v>259</v>
      </c>
      <c r="B265" s="42" t="s">
        <v>750</v>
      </c>
      <c r="C265" s="43" t="s">
        <v>755</v>
      </c>
      <c r="D265" s="44" t="s">
        <v>69</v>
      </c>
      <c r="E265" s="45" t="s">
        <v>70</v>
      </c>
      <c r="F265" s="44" t="s">
        <v>70</v>
      </c>
      <c r="G265" s="44" t="s">
        <v>70</v>
      </c>
      <c r="H265" s="44" t="s">
        <v>70</v>
      </c>
      <c r="I265" s="44" t="s">
        <v>70</v>
      </c>
      <c r="J265" s="44" t="s">
        <v>70</v>
      </c>
      <c r="K265" s="44" t="s">
        <v>70</v>
      </c>
      <c r="L265" s="44" t="s">
        <v>70</v>
      </c>
      <c r="M265" s="45" t="s">
        <v>70</v>
      </c>
      <c r="N265" s="44" t="s">
        <v>70</v>
      </c>
      <c r="O265" s="67"/>
      <c r="P265" s="46"/>
      <c r="Q265" s="41"/>
      <c r="R265" s="41"/>
      <c r="S265" s="41"/>
      <c r="T265" s="46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72"/>
      <c r="AP265" s="72"/>
      <c r="AQ265" s="41"/>
      <c r="AR265" s="41"/>
      <c r="AS265" s="41"/>
      <c r="AT265" s="41"/>
      <c r="AU265" s="41"/>
      <c r="AV265" s="41"/>
      <c r="AW265" s="41"/>
      <c r="AX265" s="41"/>
      <c r="AY265" s="10"/>
      <c r="AZ265" s="41"/>
      <c r="BA265" s="41"/>
      <c r="BB265" s="41"/>
      <c r="BC265" s="41"/>
      <c r="BD265" s="41"/>
      <c r="BE265" s="41"/>
    </row>
    <row r="266" spans="1:57" x14ac:dyDescent="0.25">
      <c r="A266" s="9">
        <v>260</v>
      </c>
      <c r="B266" s="48" t="s">
        <v>756</v>
      </c>
      <c r="C266" s="49" t="s">
        <v>757</v>
      </c>
      <c r="D266" s="6" t="s">
        <v>69</v>
      </c>
      <c r="E266" s="50" t="s">
        <v>72</v>
      </c>
      <c r="F266" s="51" t="s">
        <v>87</v>
      </c>
      <c r="G266" s="9"/>
      <c r="H266" s="9" t="s">
        <v>74</v>
      </c>
      <c r="I266" s="9" t="s">
        <v>74</v>
      </c>
      <c r="J266" s="9">
        <v>10</v>
      </c>
      <c r="K266" s="9" t="s">
        <v>96</v>
      </c>
      <c r="L266" s="9" t="s">
        <v>97</v>
      </c>
      <c r="M266" s="53" t="s">
        <v>548</v>
      </c>
      <c r="N266" s="9" t="s">
        <v>758</v>
      </c>
      <c r="O266" s="70"/>
      <c r="P266" s="13"/>
      <c r="Q266" s="10"/>
      <c r="R266" s="10"/>
      <c r="S266" s="10"/>
      <c r="T266" s="13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 t="s">
        <v>100</v>
      </c>
      <c r="AL266" s="10"/>
      <c r="AM266" s="9">
        <v>3</v>
      </c>
      <c r="AN266" s="10" t="s">
        <v>316</v>
      </c>
      <c r="AO266" s="72"/>
      <c r="AP266" s="72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</row>
    <row r="267" spans="1:57" x14ac:dyDescent="0.25">
      <c r="A267" s="9">
        <v>261</v>
      </c>
      <c r="B267" s="48" t="s">
        <v>756</v>
      </c>
      <c r="C267" s="49" t="s">
        <v>759</v>
      </c>
      <c r="D267" s="6" t="s">
        <v>69</v>
      </c>
      <c r="E267" s="50" t="s">
        <v>72</v>
      </c>
      <c r="F267" s="51" t="s">
        <v>87</v>
      </c>
      <c r="G267" s="9"/>
      <c r="H267" s="9" t="s">
        <v>74</v>
      </c>
      <c r="I267" s="9" t="s">
        <v>74</v>
      </c>
      <c r="J267" s="9">
        <v>13</v>
      </c>
      <c r="K267" s="9" t="s">
        <v>96</v>
      </c>
      <c r="L267" s="9" t="s">
        <v>97</v>
      </c>
      <c r="M267" s="53" t="s">
        <v>548</v>
      </c>
      <c r="N267" s="9" t="s">
        <v>760</v>
      </c>
      <c r="O267" s="70"/>
      <c r="P267" s="13"/>
      <c r="Q267" s="10"/>
      <c r="R267" s="10"/>
      <c r="S267" s="10"/>
      <c r="T267" s="13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 t="s">
        <v>100</v>
      </c>
      <c r="AL267" s="10"/>
      <c r="AM267" s="9">
        <v>5</v>
      </c>
      <c r="AN267" s="10" t="s">
        <v>316</v>
      </c>
      <c r="AO267" s="72"/>
      <c r="AP267" s="72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</row>
    <row r="268" spans="1:57" x14ac:dyDescent="0.25">
      <c r="A268" s="9">
        <v>262</v>
      </c>
      <c r="B268" s="48" t="s">
        <v>756</v>
      </c>
      <c r="C268" s="49" t="s">
        <v>761</v>
      </c>
      <c r="D268" s="6" t="s">
        <v>69</v>
      </c>
      <c r="E268" s="50" t="s">
        <v>72</v>
      </c>
      <c r="F268" s="51" t="s">
        <v>87</v>
      </c>
      <c r="G268" s="9"/>
      <c r="H268" s="9" t="s">
        <v>74</v>
      </c>
      <c r="I268" s="9" t="s">
        <v>74</v>
      </c>
      <c r="J268" s="9">
        <v>10</v>
      </c>
      <c r="K268" s="9" t="s">
        <v>89</v>
      </c>
      <c r="L268" s="9" t="s">
        <v>76</v>
      </c>
      <c r="M268" s="53" t="s">
        <v>548</v>
      </c>
      <c r="N268" s="9" t="s">
        <v>762</v>
      </c>
      <c r="O268" s="70"/>
      <c r="P268" s="13"/>
      <c r="Q268" s="10"/>
      <c r="R268" s="10"/>
      <c r="S268" s="10"/>
      <c r="T268" s="13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72"/>
      <c r="AP268" s="72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</row>
    <row r="269" spans="1:57" x14ac:dyDescent="0.25">
      <c r="A269" s="9">
        <v>263</v>
      </c>
      <c r="B269" s="48" t="s">
        <v>756</v>
      </c>
      <c r="C269" s="49" t="s">
        <v>763</v>
      </c>
      <c r="D269" s="6" t="s">
        <v>69</v>
      </c>
      <c r="E269" s="50" t="s">
        <v>72</v>
      </c>
      <c r="F269" s="51" t="s">
        <v>87</v>
      </c>
      <c r="G269" s="9"/>
      <c r="H269" s="9" t="s">
        <v>74</v>
      </c>
      <c r="I269" s="9" t="s">
        <v>74</v>
      </c>
      <c r="J269" s="9">
        <v>5</v>
      </c>
      <c r="K269" s="9" t="s">
        <v>89</v>
      </c>
      <c r="L269" s="9" t="s">
        <v>76</v>
      </c>
      <c r="M269" s="53" t="s">
        <v>421</v>
      </c>
      <c r="N269" s="9" t="s">
        <v>764</v>
      </c>
      <c r="O269" s="70"/>
      <c r="P269" s="13"/>
      <c r="Q269" s="10"/>
      <c r="R269" s="10"/>
      <c r="S269" s="10"/>
      <c r="T269" s="13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72"/>
      <c r="AP269" s="72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</row>
    <row r="270" spans="1:57" x14ac:dyDescent="0.25">
      <c r="A270" s="9">
        <v>264</v>
      </c>
      <c r="B270" s="48" t="s">
        <v>756</v>
      </c>
      <c r="C270" s="49" t="s">
        <v>765</v>
      </c>
      <c r="D270" s="6" t="s">
        <v>69</v>
      </c>
      <c r="E270" s="50" t="s">
        <v>72</v>
      </c>
      <c r="F270" s="51" t="s">
        <v>87</v>
      </c>
      <c r="G270" s="9"/>
      <c r="H270" s="9" t="s">
        <v>74</v>
      </c>
      <c r="I270" s="9" t="s">
        <v>74</v>
      </c>
      <c r="J270" s="9">
        <v>10</v>
      </c>
      <c r="K270" s="9" t="s">
        <v>96</v>
      </c>
      <c r="L270" s="9" t="s">
        <v>97</v>
      </c>
      <c r="M270" s="53" t="s">
        <v>548</v>
      </c>
      <c r="N270" s="9" t="s">
        <v>766</v>
      </c>
      <c r="O270" s="70"/>
      <c r="P270" s="13"/>
      <c r="Q270" s="10"/>
      <c r="R270" s="10"/>
      <c r="S270" s="10"/>
      <c r="T270" s="13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 t="s">
        <v>100</v>
      </c>
      <c r="AL270" s="10"/>
      <c r="AM270" s="9" t="s">
        <v>767</v>
      </c>
      <c r="AN270" s="10" t="s">
        <v>316</v>
      </c>
      <c r="AO270" s="72"/>
      <c r="AP270" s="72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</row>
    <row r="271" spans="1:57" x14ac:dyDescent="0.25">
      <c r="A271" s="9">
        <v>265</v>
      </c>
      <c r="B271" s="48" t="s">
        <v>768</v>
      </c>
      <c r="C271" s="49" t="s">
        <v>769</v>
      </c>
      <c r="D271" s="6" t="s">
        <v>69</v>
      </c>
      <c r="E271" s="50" t="s">
        <v>72</v>
      </c>
      <c r="F271" s="51" t="s">
        <v>87</v>
      </c>
      <c r="G271" s="9"/>
      <c r="H271" s="9" t="s">
        <v>88</v>
      </c>
      <c r="I271" s="9" t="s">
        <v>74</v>
      </c>
      <c r="J271" s="9">
        <v>107</v>
      </c>
      <c r="K271" s="9" t="s">
        <v>96</v>
      </c>
      <c r="L271" s="9" t="s">
        <v>97</v>
      </c>
      <c r="M271" s="53" t="s">
        <v>98</v>
      </c>
      <c r="N271" s="9" t="s">
        <v>770</v>
      </c>
      <c r="O271" s="70"/>
      <c r="P271" s="13"/>
      <c r="Q271" s="10"/>
      <c r="R271" s="10"/>
      <c r="S271" s="10"/>
      <c r="T271" s="13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9" t="s">
        <v>100</v>
      </c>
      <c r="AL271" s="10"/>
      <c r="AM271" s="9" t="s">
        <v>771</v>
      </c>
      <c r="AN271" s="10" t="s">
        <v>102</v>
      </c>
      <c r="AO271" s="72">
        <v>46281</v>
      </c>
      <c r="AP271" s="72">
        <v>46281</v>
      </c>
      <c r="AQ271" s="10">
        <v>261</v>
      </c>
      <c r="AR271" s="10" t="s">
        <v>103</v>
      </c>
      <c r="AS271" s="2" t="s">
        <v>772</v>
      </c>
      <c r="AT271" s="10"/>
      <c r="AU271" s="10"/>
      <c r="AV271" s="10"/>
      <c r="AW271" s="10"/>
      <c r="AX271" s="10"/>
      <c r="AY271" s="10" t="s">
        <v>105</v>
      </c>
      <c r="AZ271" s="10"/>
      <c r="BA271" s="10"/>
      <c r="BB271" s="10"/>
      <c r="BC271" s="10"/>
      <c r="BD271" s="10"/>
      <c r="BE271" s="10"/>
    </row>
    <row r="272" spans="1:57" x14ac:dyDescent="0.25">
      <c r="A272" s="9">
        <v>266</v>
      </c>
      <c r="B272" s="48" t="s">
        <v>768</v>
      </c>
      <c r="C272" s="49" t="s">
        <v>773</v>
      </c>
      <c r="D272" s="6" t="s">
        <v>69</v>
      </c>
      <c r="E272" s="50" t="s">
        <v>72</v>
      </c>
      <c r="F272" s="51" t="s">
        <v>87</v>
      </c>
      <c r="G272" s="9"/>
      <c r="H272" s="9" t="s">
        <v>88</v>
      </c>
      <c r="I272" s="9" t="s">
        <v>74</v>
      </c>
      <c r="J272" s="9">
        <v>143</v>
      </c>
      <c r="K272" s="9" t="s">
        <v>96</v>
      </c>
      <c r="L272" s="9" t="s">
        <v>97</v>
      </c>
      <c r="M272" s="53" t="s">
        <v>98</v>
      </c>
      <c r="N272" s="9" t="s">
        <v>770</v>
      </c>
      <c r="O272" s="70"/>
      <c r="P272" s="13"/>
      <c r="Q272" s="10"/>
      <c r="R272" s="10"/>
      <c r="S272" s="10"/>
      <c r="T272" s="13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9" t="s">
        <v>100</v>
      </c>
      <c r="AL272" s="10"/>
      <c r="AM272" s="9" t="s">
        <v>774</v>
      </c>
      <c r="AN272" s="10" t="s">
        <v>102</v>
      </c>
      <c r="AO272" s="72">
        <v>46281</v>
      </c>
      <c r="AP272" s="72">
        <v>46281</v>
      </c>
      <c r="AQ272" s="10">
        <v>0</v>
      </c>
      <c r="AR272" s="10" t="s">
        <v>103</v>
      </c>
      <c r="AS272" s="10"/>
      <c r="AT272" s="10"/>
      <c r="AU272" s="10"/>
      <c r="AV272" s="10"/>
      <c r="AW272" s="10"/>
      <c r="AX272" s="10"/>
      <c r="AY272" s="10" t="s">
        <v>105</v>
      </c>
      <c r="AZ272" s="10"/>
      <c r="BA272" s="10"/>
      <c r="BB272" s="10"/>
      <c r="BC272" s="10"/>
      <c r="BD272" s="10"/>
      <c r="BE272" s="10"/>
    </row>
    <row r="273" spans="1:57" x14ac:dyDescent="0.25">
      <c r="A273" s="9">
        <v>267</v>
      </c>
      <c r="B273" s="48" t="s">
        <v>768</v>
      </c>
      <c r="C273" s="49" t="s">
        <v>775</v>
      </c>
      <c r="D273" s="6" t="s">
        <v>69</v>
      </c>
      <c r="E273" s="50" t="s">
        <v>72</v>
      </c>
      <c r="F273" s="51" t="s">
        <v>87</v>
      </c>
      <c r="G273" s="10"/>
      <c r="H273" s="9" t="s">
        <v>74</v>
      </c>
      <c r="I273" s="9" t="s">
        <v>74</v>
      </c>
      <c r="J273" s="9">
        <v>457</v>
      </c>
      <c r="K273" s="9" t="s">
        <v>96</v>
      </c>
      <c r="L273" s="9" t="s">
        <v>97</v>
      </c>
      <c r="M273" s="53" t="s">
        <v>98</v>
      </c>
      <c r="N273" s="9" t="s">
        <v>770</v>
      </c>
      <c r="O273" s="70"/>
      <c r="P273" s="13"/>
      <c r="Q273" s="10"/>
      <c r="R273" s="10"/>
      <c r="S273" s="10"/>
      <c r="T273" s="13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9" t="s">
        <v>100</v>
      </c>
      <c r="AL273" s="10"/>
      <c r="AM273" s="9" t="s">
        <v>776</v>
      </c>
      <c r="AN273" s="10" t="s">
        <v>102</v>
      </c>
      <c r="AO273" s="72">
        <v>46281</v>
      </c>
      <c r="AP273" s="72">
        <v>46281</v>
      </c>
      <c r="AQ273" s="10">
        <v>115</v>
      </c>
      <c r="AR273" s="10" t="s">
        <v>103</v>
      </c>
      <c r="AS273" s="2" t="s">
        <v>777</v>
      </c>
      <c r="AT273" s="10"/>
      <c r="AU273" s="10"/>
      <c r="AV273" s="10"/>
      <c r="AW273" s="10"/>
      <c r="AX273" s="10"/>
      <c r="AY273" s="10" t="s">
        <v>105</v>
      </c>
      <c r="AZ273" s="10"/>
      <c r="BA273" s="10"/>
      <c r="BB273" s="10"/>
      <c r="BC273" s="10"/>
      <c r="BD273" s="10"/>
      <c r="BE273" s="10"/>
    </row>
    <row r="274" spans="1:57" x14ac:dyDescent="0.25">
      <c r="A274" s="9">
        <v>268</v>
      </c>
      <c r="B274" s="48" t="s">
        <v>768</v>
      </c>
      <c r="C274" s="49" t="s">
        <v>778</v>
      </c>
      <c r="D274" s="6" t="s">
        <v>69</v>
      </c>
      <c r="E274" s="50" t="s">
        <v>72</v>
      </c>
      <c r="F274" s="51" t="s">
        <v>87</v>
      </c>
      <c r="G274" s="10"/>
      <c r="H274" s="9" t="s">
        <v>74</v>
      </c>
      <c r="I274" s="9" t="s">
        <v>74</v>
      </c>
      <c r="J274" s="9">
        <v>233</v>
      </c>
      <c r="K274" s="9" t="s">
        <v>96</v>
      </c>
      <c r="L274" s="9" t="s">
        <v>97</v>
      </c>
      <c r="M274" s="53" t="s">
        <v>98</v>
      </c>
      <c r="N274" s="9" t="s">
        <v>770</v>
      </c>
      <c r="O274" s="70"/>
      <c r="P274" s="13"/>
      <c r="Q274" s="10"/>
      <c r="R274" s="10"/>
      <c r="S274" s="10"/>
      <c r="T274" s="13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9" t="s">
        <v>100</v>
      </c>
      <c r="AL274" s="10"/>
      <c r="AM274" s="9" t="s">
        <v>779</v>
      </c>
      <c r="AN274" s="10" t="s">
        <v>102</v>
      </c>
      <c r="AO274" s="72">
        <v>46281</v>
      </c>
      <c r="AP274" s="72">
        <v>46281</v>
      </c>
      <c r="AQ274" s="10">
        <v>37</v>
      </c>
      <c r="AR274" s="10" t="s">
        <v>103</v>
      </c>
      <c r="AS274" s="2" t="s">
        <v>780</v>
      </c>
      <c r="AT274" s="10"/>
      <c r="AU274" s="10"/>
      <c r="AV274" s="10"/>
      <c r="AW274" s="10"/>
      <c r="AX274" s="10"/>
      <c r="AY274" s="10" t="s">
        <v>105</v>
      </c>
      <c r="AZ274" s="10"/>
      <c r="BA274" s="10"/>
      <c r="BB274" s="10"/>
      <c r="BC274" s="10"/>
      <c r="BD274" s="10"/>
      <c r="BE274" s="10"/>
    </row>
    <row r="275" spans="1:57" s="47" customFormat="1" x14ac:dyDescent="0.25">
      <c r="A275" s="41">
        <v>269</v>
      </c>
      <c r="B275" s="42" t="s">
        <v>781</v>
      </c>
      <c r="C275" s="43">
        <v>1</v>
      </c>
      <c r="D275" s="44" t="s">
        <v>69</v>
      </c>
      <c r="E275" s="45" t="s">
        <v>70</v>
      </c>
      <c r="F275" s="44" t="s">
        <v>70</v>
      </c>
      <c r="G275" s="44" t="s">
        <v>70</v>
      </c>
      <c r="H275" s="44" t="s">
        <v>70</v>
      </c>
      <c r="I275" s="44" t="s">
        <v>70</v>
      </c>
      <c r="J275" s="44" t="s">
        <v>70</v>
      </c>
      <c r="K275" s="44" t="s">
        <v>70</v>
      </c>
      <c r="L275" s="44" t="s">
        <v>70</v>
      </c>
      <c r="M275" s="45" t="s">
        <v>70</v>
      </c>
      <c r="N275" s="44" t="s">
        <v>70</v>
      </c>
      <c r="O275" s="67"/>
      <c r="P275" s="46"/>
      <c r="Q275" s="41"/>
      <c r="R275" s="41"/>
      <c r="S275" s="41"/>
      <c r="T275" s="46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72" t="s">
        <v>782</v>
      </c>
      <c r="AP275" s="72"/>
      <c r="AQ275" s="41"/>
      <c r="AR275" s="41"/>
      <c r="AS275" s="41"/>
      <c r="AT275" s="41"/>
      <c r="AU275" s="41"/>
      <c r="AV275" s="41"/>
      <c r="AW275" s="41"/>
      <c r="AX275" s="41"/>
      <c r="AY275" s="10"/>
      <c r="AZ275" s="41"/>
      <c r="BA275" s="41"/>
      <c r="BB275" s="41"/>
      <c r="BC275" s="41"/>
      <c r="BD275" s="41"/>
      <c r="BE275" s="41"/>
    </row>
    <row r="276" spans="1:57" s="47" customFormat="1" x14ac:dyDescent="0.25">
      <c r="A276" s="41">
        <v>270</v>
      </c>
      <c r="B276" s="42" t="s">
        <v>781</v>
      </c>
      <c r="C276" s="43">
        <v>2</v>
      </c>
      <c r="D276" s="44" t="s">
        <v>69</v>
      </c>
      <c r="E276" s="45" t="s">
        <v>70</v>
      </c>
      <c r="F276" s="44" t="s">
        <v>70</v>
      </c>
      <c r="G276" s="44" t="s">
        <v>70</v>
      </c>
      <c r="H276" s="44" t="s">
        <v>70</v>
      </c>
      <c r="I276" s="44" t="s">
        <v>70</v>
      </c>
      <c r="J276" s="44" t="s">
        <v>70</v>
      </c>
      <c r="K276" s="44" t="s">
        <v>70</v>
      </c>
      <c r="L276" s="44" t="s">
        <v>70</v>
      </c>
      <c r="M276" s="45" t="s">
        <v>70</v>
      </c>
      <c r="N276" s="44" t="s">
        <v>70</v>
      </c>
      <c r="O276" s="67"/>
      <c r="P276" s="46"/>
      <c r="Q276" s="41"/>
      <c r="R276" s="41"/>
      <c r="S276" s="41"/>
      <c r="T276" s="46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72" t="s">
        <v>783</v>
      </c>
      <c r="AP276" s="72"/>
      <c r="AQ276" s="41"/>
      <c r="AR276" s="41"/>
      <c r="AS276" s="41"/>
      <c r="AT276" s="41"/>
      <c r="AU276" s="41"/>
      <c r="AV276" s="41"/>
      <c r="AW276" s="41"/>
      <c r="AX276" s="41"/>
      <c r="AY276" s="10"/>
      <c r="AZ276" s="41"/>
      <c r="BA276" s="41"/>
      <c r="BB276" s="41"/>
      <c r="BC276" s="41"/>
      <c r="BD276" s="41"/>
      <c r="BE276" s="41"/>
    </row>
    <row r="277" spans="1:57" s="47" customFormat="1" x14ac:dyDescent="0.25">
      <c r="A277" s="41">
        <v>271</v>
      </c>
      <c r="B277" s="42" t="s">
        <v>784</v>
      </c>
      <c r="C277" s="43" t="s">
        <v>755</v>
      </c>
      <c r="D277" s="44" t="s">
        <v>69</v>
      </c>
      <c r="E277" s="45" t="s">
        <v>70</v>
      </c>
      <c r="F277" s="44" t="s">
        <v>70</v>
      </c>
      <c r="G277" s="44" t="s">
        <v>70</v>
      </c>
      <c r="H277" s="44" t="s">
        <v>70</v>
      </c>
      <c r="I277" s="44" t="s">
        <v>70</v>
      </c>
      <c r="J277" s="44" t="s">
        <v>70</v>
      </c>
      <c r="K277" s="44" t="s">
        <v>70</v>
      </c>
      <c r="L277" s="44" t="s">
        <v>70</v>
      </c>
      <c r="M277" s="45" t="s">
        <v>70</v>
      </c>
      <c r="N277" s="44" t="s">
        <v>70</v>
      </c>
      <c r="O277" s="67"/>
      <c r="P277" s="46"/>
      <c r="Q277" s="41"/>
      <c r="R277" s="41"/>
      <c r="S277" s="41"/>
      <c r="T277" s="46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72" t="s">
        <v>785</v>
      </c>
      <c r="AP277" s="72"/>
      <c r="AQ277" s="41"/>
      <c r="AR277" s="41"/>
      <c r="AS277" s="41"/>
      <c r="AT277" s="41"/>
      <c r="AU277" s="41"/>
      <c r="AV277" s="41"/>
      <c r="AW277" s="41"/>
      <c r="AX277" s="41"/>
      <c r="AY277" s="10"/>
      <c r="AZ277" s="41"/>
      <c r="BA277" s="41"/>
      <c r="BB277" s="41"/>
      <c r="BC277" s="41"/>
      <c r="BD277" s="41"/>
      <c r="BE277" s="41"/>
    </row>
    <row r="278" spans="1:57" x14ac:dyDescent="0.25">
      <c r="A278" s="9">
        <v>272</v>
      </c>
      <c r="B278" s="48" t="s">
        <v>784</v>
      </c>
      <c r="C278" s="49" t="s">
        <v>786</v>
      </c>
      <c r="D278" s="6" t="s">
        <v>69</v>
      </c>
      <c r="E278" s="50" t="s">
        <v>72</v>
      </c>
      <c r="F278" s="51" t="s">
        <v>87</v>
      </c>
      <c r="G278" s="10"/>
      <c r="H278" s="9" t="s">
        <v>74</v>
      </c>
      <c r="I278" s="9" t="s">
        <v>74</v>
      </c>
      <c r="J278" s="9">
        <v>1</v>
      </c>
      <c r="K278" s="9" t="s">
        <v>89</v>
      </c>
      <c r="L278" s="9" t="s">
        <v>76</v>
      </c>
      <c r="M278" s="53" t="s">
        <v>612</v>
      </c>
      <c r="N278" s="9" t="s">
        <v>612</v>
      </c>
      <c r="O278" s="70"/>
      <c r="P278" s="13"/>
      <c r="Q278" s="10"/>
      <c r="R278" s="10"/>
      <c r="S278" s="10"/>
      <c r="T278" s="13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79"/>
      <c r="AO278" s="72" t="s">
        <v>787</v>
      </c>
      <c r="AP278" s="72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</row>
    <row r="279" spans="1:57" x14ac:dyDescent="0.25">
      <c r="A279" s="9">
        <v>273</v>
      </c>
      <c r="B279" s="48" t="s">
        <v>788</v>
      </c>
      <c r="C279" s="49" t="s">
        <v>789</v>
      </c>
      <c r="D279" s="6" t="s">
        <v>69</v>
      </c>
      <c r="E279" s="50" t="s">
        <v>72</v>
      </c>
      <c r="F279" s="51" t="s">
        <v>87</v>
      </c>
      <c r="G279" s="10"/>
      <c r="H279" s="9" t="s">
        <v>790</v>
      </c>
      <c r="I279" s="9" t="s">
        <v>74</v>
      </c>
      <c r="J279" s="9">
        <v>328</v>
      </c>
      <c r="K279" s="9" t="s">
        <v>96</v>
      </c>
      <c r="L279" s="9" t="s">
        <v>97</v>
      </c>
      <c r="M279" s="53" t="s">
        <v>612</v>
      </c>
      <c r="N279" s="9" t="s">
        <v>791</v>
      </c>
      <c r="O279" s="70"/>
      <c r="P279" s="13"/>
      <c r="Q279" s="10"/>
      <c r="R279" s="10"/>
      <c r="S279" s="10"/>
      <c r="T279" s="13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 t="s">
        <v>100</v>
      </c>
      <c r="AL279" s="10"/>
      <c r="AM279" s="76" t="s">
        <v>792</v>
      </c>
      <c r="AN279" s="10" t="s">
        <v>102</v>
      </c>
      <c r="AO279" s="72"/>
      <c r="AP279" s="72"/>
      <c r="AQ279" s="78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</row>
    <row r="280" spans="1:57" x14ac:dyDescent="0.25">
      <c r="A280" s="9">
        <v>274</v>
      </c>
      <c r="B280" s="48" t="s">
        <v>788</v>
      </c>
      <c r="C280" s="49" t="s">
        <v>793</v>
      </c>
      <c r="D280" s="6" t="s">
        <v>69</v>
      </c>
      <c r="E280" s="50" t="s">
        <v>72</v>
      </c>
      <c r="F280" s="51" t="s">
        <v>87</v>
      </c>
      <c r="G280" s="10"/>
      <c r="H280" s="9" t="s">
        <v>790</v>
      </c>
      <c r="I280" s="9" t="s">
        <v>74</v>
      </c>
      <c r="J280" s="9">
        <v>788</v>
      </c>
      <c r="K280" s="9" t="s">
        <v>96</v>
      </c>
      <c r="L280" s="9" t="s">
        <v>97</v>
      </c>
      <c r="M280" s="53" t="s">
        <v>612</v>
      </c>
      <c r="N280" s="9" t="s">
        <v>612</v>
      </c>
      <c r="O280" s="70"/>
      <c r="P280" s="13"/>
      <c r="Q280" s="10"/>
      <c r="R280" s="10"/>
      <c r="S280" s="10"/>
      <c r="T280" s="13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 t="s">
        <v>100</v>
      </c>
      <c r="AL280" s="10" t="s">
        <v>794</v>
      </c>
      <c r="AM280" s="77" t="s">
        <v>795</v>
      </c>
      <c r="AN280" s="10" t="s">
        <v>102</v>
      </c>
      <c r="AO280" s="72"/>
      <c r="AP280" s="72"/>
      <c r="AQ280" s="78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</row>
    <row r="281" spans="1:57" x14ac:dyDescent="0.25">
      <c r="A281" s="9">
        <v>275</v>
      </c>
      <c r="B281" s="48" t="s">
        <v>788</v>
      </c>
      <c r="C281" s="49" t="s">
        <v>796</v>
      </c>
      <c r="D281" s="6" t="s">
        <v>69</v>
      </c>
      <c r="E281" s="50" t="s">
        <v>72</v>
      </c>
      <c r="F281" s="51" t="s">
        <v>87</v>
      </c>
      <c r="G281" s="10"/>
      <c r="H281" s="9" t="s">
        <v>790</v>
      </c>
      <c r="I281" s="9" t="s">
        <v>74</v>
      </c>
      <c r="J281" s="9">
        <v>1034</v>
      </c>
      <c r="K281" s="9" t="s">
        <v>96</v>
      </c>
      <c r="L281" s="9" t="s">
        <v>97</v>
      </c>
      <c r="M281" s="53" t="s">
        <v>612</v>
      </c>
      <c r="N281" s="9" t="s">
        <v>612</v>
      </c>
      <c r="O281" s="70"/>
      <c r="P281" s="13"/>
      <c r="Q281" s="10"/>
      <c r="R281" s="10"/>
      <c r="S281" s="10"/>
      <c r="T281" s="13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 t="s">
        <v>100</v>
      </c>
      <c r="AL281" s="10"/>
      <c r="AM281" s="22" t="s">
        <v>797</v>
      </c>
      <c r="AN281" s="10" t="s">
        <v>656</v>
      </c>
      <c r="AO281" s="72">
        <v>46279</v>
      </c>
      <c r="AP281" s="72"/>
      <c r="AQ281" s="78">
        <v>1626</v>
      </c>
      <c r="AR281" s="10" t="s">
        <v>393</v>
      </c>
      <c r="AS281" s="10"/>
      <c r="AT281" s="10"/>
      <c r="AU281" s="10"/>
      <c r="AV281" s="10"/>
      <c r="AW281" s="10"/>
      <c r="AX281" s="10"/>
      <c r="AY281" s="10" t="s">
        <v>330</v>
      </c>
      <c r="AZ281" s="10"/>
      <c r="BA281" s="10"/>
      <c r="BB281" s="10"/>
      <c r="BC281" s="10"/>
      <c r="BD281" s="10"/>
      <c r="BE281" s="10"/>
    </row>
    <row r="282" spans="1:57" x14ac:dyDescent="0.25">
      <c r="A282" s="9">
        <v>276</v>
      </c>
      <c r="B282" s="48" t="s">
        <v>788</v>
      </c>
      <c r="C282" s="49" t="s">
        <v>798</v>
      </c>
      <c r="D282" s="6" t="s">
        <v>69</v>
      </c>
      <c r="E282" s="50" t="s">
        <v>72</v>
      </c>
      <c r="F282" s="51" t="s">
        <v>87</v>
      </c>
      <c r="G282" s="10"/>
      <c r="H282" s="9" t="s">
        <v>74</v>
      </c>
      <c r="I282" s="9" t="s">
        <v>74</v>
      </c>
      <c r="J282" s="9">
        <v>104</v>
      </c>
      <c r="K282" s="9" t="s">
        <v>89</v>
      </c>
      <c r="L282" s="9" t="s">
        <v>76</v>
      </c>
      <c r="M282" s="53" t="s">
        <v>612</v>
      </c>
      <c r="N282" s="9" t="s">
        <v>799</v>
      </c>
      <c r="O282" s="70"/>
      <c r="P282" s="13"/>
      <c r="Q282" s="10"/>
      <c r="R282" s="10"/>
      <c r="S282" s="10"/>
      <c r="T282" s="13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80"/>
      <c r="AO282" s="72" t="s">
        <v>800</v>
      </c>
      <c r="AP282" s="72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</row>
    <row r="283" spans="1:57" x14ac:dyDescent="0.25">
      <c r="A283" s="9">
        <v>277</v>
      </c>
      <c r="B283" s="48" t="s">
        <v>788</v>
      </c>
      <c r="C283" s="49" t="s">
        <v>801</v>
      </c>
      <c r="D283" s="6" t="s">
        <v>69</v>
      </c>
      <c r="E283" s="50" t="s">
        <v>72</v>
      </c>
      <c r="F283" s="51" t="s">
        <v>87</v>
      </c>
      <c r="G283" s="10"/>
      <c r="H283" s="9" t="s">
        <v>74</v>
      </c>
      <c r="I283" s="9" t="s">
        <v>74</v>
      </c>
      <c r="J283" s="9">
        <v>1118</v>
      </c>
      <c r="K283" s="9" t="s">
        <v>96</v>
      </c>
      <c r="L283" s="9" t="s">
        <v>97</v>
      </c>
      <c r="M283" s="53" t="s">
        <v>612</v>
      </c>
      <c r="N283" s="9" t="s">
        <v>612</v>
      </c>
      <c r="O283" s="70"/>
      <c r="P283" s="13"/>
      <c r="Q283" s="10"/>
      <c r="R283" s="10"/>
      <c r="S283" s="10"/>
      <c r="T283" s="13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 t="s">
        <v>100</v>
      </c>
      <c r="AL283" s="10"/>
      <c r="AM283" s="9" t="s">
        <v>802</v>
      </c>
      <c r="AN283" s="10" t="s">
        <v>656</v>
      </c>
      <c r="AO283" s="72">
        <v>46278</v>
      </c>
      <c r="AP283" s="72">
        <v>46279</v>
      </c>
      <c r="AQ283" s="10">
        <v>1194</v>
      </c>
      <c r="AR283" s="10" t="s">
        <v>103</v>
      </c>
      <c r="AS283" s="10"/>
      <c r="AT283" s="10"/>
      <c r="AU283" s="10"/>
      <c r="AV283" s="10"/>
      <c r="AW283" s="10"/>
      <c r="AX283" s="10"/>
      <c r="AY283" s="10" t="s">
        <v>330</v>
      </c>
      <c r="AZ283" s="72">
        <v>46282</v>
      </c>
      <c r="BA283" s="72">
        <v>46282</v>
      </c>
      <c r="BB283" s="10">
        <v>1128</v>
      </c>
      <c r="BC283" s="10" t="s">
        <v>103</v>
      </c>
      <c r="BD283" s="10"/>
      <c r="BE283" s="10"/>
    </row>
    <row r="284" spans="1:57" x14ac:dyDescent="0.25">
      <c r="A284" s="9">
        <v>278</v>
      </c>
      <c r="B284" s="48" t="s">
        <v>788</v>
      </c>
      <c r="C284" s="49" t="s">
        <v>803</v>
      </c>
      <c r="D284" s="6" t="s">
        <v>69</v>
      </c>
      <c r="E284" s="50" t="s">
        <v>72</v>
      </c>
      <c r="F284" s="51" t="s">
        <v>87</v>
      </c>
      <c r="G284" s="10"/>
      <c r="H284" s="9" t="s">
        <v>74</v>
      </c>
      <c r="I284" s="9" t="s">
        <v>74</v>
      </c>
      <c r="J284" s="9">
        <v>1028</v>
      </c>
      <c r="K284" s="9" t="s">
        <v>96</v>
      </c>
      <c r="L284" s="9" t="s">
        <v>97</v>
      </c>
      <c r="M284" s="53" t="s">
        <v>612</v>
      </c>
      <c r="N284" s="9" t="s">
        <v>612</v>
      </c>
      <c r="O284" s="70"/>
      <c r="P284" s="13"/>
      <c r="Q284" s="10"/>
      <c r="R284" s="10"/>
      <c r="S284" s="10"/>
      <c r="T284" s="13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 t="s">
        <v>100</v>
      </c>
      <c r="AL284" s="10"/>
      <c r="AM284" s="9" t="s">
        <v>804</v>
      </c>
      <c r="AN284" s="10" t="s">
        <v>656</v>
      </c>
      <c r="AO284" s="72">
        <v>46281</v>
      </c>
      <c r="AP284" s="72"/>
      <c r="AQ284" s="10">
        <v>1076</v>
      </c>
      <c r="AR284" s="10" t="s">
        <v>393</v>
      </c>
      <c r="AS284" s="10"/>
      <c r="AT284" s="10"/>
      <c r="AU284" s="10"/>
      <c r="AV284" s="10"/>
      <c r="AW284" s="10"/>
      <c r="AX284" s="10"/>
      <c r="AY284" s="10" t="s">
        <v>330</v>
      </c>
      <c r="AZ284" s="10"/>
      <c r="BA284" s="10"/>
      <c r="BB284" s="10"/>
      <c r="BC284" s="10"/>
      <c r="BD284" s="10"/>
      <c r="BE284" s="10"/>
    </row>
    <row r="285" spans="1:57" s="47" customFormat="1" x14ac:dyDescent="0.25">
      <c r="A285" s="41">
        <v>279</v>
      </c>
      <c r="B285" s="42" t="s">
        <v>805</v>
      </c>
      <c r="C285" s="43" t="s">
        <v>806</v>
      </c>
      <c r="D285" s="44" t="s">
        <v>69</v>
      </c>
      <c r="E285" s="45" t="s">
        <v>70</v>
      </c>
      <c r="F285" s="44" t="s">
        <v>70</v>
      </c>
      <c r="G285" s="44" t="s">
        <v>70</v>
      </c>
      <c r="H285" s="44" t="s">
        <v>70</v>
      </c>
      <c r="I285" s="44" t="s">
        <v>70</v>
      </c>
      <c r="J285" s="44" t="s">
        <v>70</v>
      </c>
      <c r="K285" s="44" t="s">
        <v>70</v>
      </c>
      <c r="L285" s="44" t="s">
        <v>70</v>
      </c>
      <c r="M285" s="45" t="s">
        <v>70</v>
      </c>
      <c r="N285" s="44" t="s">
        <v>70</v>
      </c>
      <c r="O285" s="67"/>
      <c r="P285" s="46"/>
      <c r="Q285" s="41"/>
      <c r="R285" s="41"/>
      <c r="S285" s="41"/>
      <c r="T285" s="46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72"/>
      <c r="AP285" s="72"/>
      <c r="AQ285" s="41"/>
      <c r="AR285" s="41"/>
      <c r="AS285" s="41"/>
      <c r="AT285" s="41"/>
      <c r="AU285" s="41"/>
      <c r="AV285" s="41"/>
      <c r="AW285" s="41"/>
      <c r="AX285" s="41"/>
      <c r="AY285" s="10"/>
      <c r="AZ285" s="41"/>
      <c r="BA285" s="41"/>
      <c r="BB285" s="41"/>
      <c r="BC285" s="41"/>
      <c r="BD285" s="41"/>
      <c r="BE285" s="41"/>
    </row>
    <row r="286" spans="1:57" x14ac:dyDescent="0.25">
      <c r="A286" s="9">
        <v>280</v>
      </c>
      <c r="B286" s="48" t="s">
        <v>805</v>
      </c>
      <c r="C286" s="49" t="s">
        <v>786</v>
      </c>
      <c r="D286" s="6" t="s">
        <v>69</v>
      </c>
      <c r="E286" s="50" t="s">
        <v>72</v>
      </c>
      <c r="F286" s="51" t="s">
        <v>87</v>
      </c>
      <c r="G286" s="10"/>
      <c r="H286" s="9" t="s">
        <v>74</v>
      </c>
      <c r="I286" s="9" t="s">
        <v>74</v>
      </c>
      <c r="J286" s="9">
        <v>1</v>
      </c>
      <c r="K286" s="9" t="s">
        <v>89</v>
      </c>
      <c r="L286" s="9" t="s">
        <v>76</v>
      </c>
      <c r="M286" s="53" t="s">
        <v>612</v>
      </c>
      <c r="N286" s="9" t="s">
        <v>612</v>
      </c>
      <c r="O286" s="70"/>
      <c r="P286" s="13"/>
      <c r="Q286" s="10"/>
      <c r="R286" s="10"/>
      <c r="S286" s="10"/>
      <c r="T286" s="13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72"/>
      <c r="AP286" s="72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</row>
    <row r="287" spans="1:57" x14ac:dyDescent="0.25">
      <c r="A287" s="9">
        <v>281</v>
      </c>
      <c r="B287" s="48" t="s">
        <v>807</v>
      </c>
      <c r="C287" s="49" t="s">
        <v>808</v>
      </c>
      <c r="D287" s="6" t="s">
        <v>69</v>
      </c>
      <c r="E287" s="50" t="s">
        <v>72</v>
      </c>
      <c r="F287" s="51" t="s">
        <v>87</v>
      </c>
      <c r="G287" s="10"/>
      <c r="H287" s="9" t="s">
        <v>790</v>
      </c>
      <c r="I287" s="9" t="s">
        <v>74</v>
      </c>
      <c r="J287" s="9">
        <v>245</v>
      </c>
      <c r="K287" s="9" t="s">
        <v>96</v>
      </c>
      <c r="L287" s="9" t="s">
        <v>97</v>
      </c>
      <c r="M287" s="53" t="s">
        <v>612</v>
      </c>
      <c r="N287" s="9" t="s">
        <v>799</v>
      </c>
      <c r="O287" s="70"/>
      <c r="P287" s="13"/>
      <c r="Q287" s="10"/>
      <c r="R287" s="10"/>
      <c r="S287" s="10"/>
      <c r="T287" s="13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 t="s">
        <v>100</v>
      </c>
      <c r="AL287" s="10"/>
      <c r="AM287" s="9" t="s">
        <v>809</v>
      </c>
      <c r="AN287" s="10" t="s">
        <v>329</v>
      </c>
      <c r="AO287" s="72">
        <v>46282</v>
      </c>
      <c r="AP287" s="72"/>
      <c r="AQ287" s="10">
        <v>11</v>
      </c>
      <c r="AR287" s="10" t="s">
        <v>393</v>
      </c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</row>
    <row r="288" spans="1:57" x14ac:dyDescent="0.25">
      <c r="A288" s="9">
        <v>282</v>
      </c>
      <c r="B288" s="48" t="s">
        <v>807</v>
      </c>
      <c r="C288" s="49" t="s">
        <v>810</v>
      </c>
      <c r="D288" s="6" t="s">
        <v>69</v>
      </c>
      <c r="E288" s="50" t="s">
        <v>72</v>
      </c>
      <c r="F288" s="51" t="s">
        <v>87</v>
      </c>
      <c r="G288" s="10"/>
      <c r="H288" s="9" t="s">
        <v>74</v>
      </c>
      <c r="I288" s="9" t="s">
        <v>74</v>
      </c>
      <c r="J288" s="9">
        <v>331</v>
      </c>
      <c r="K288" s="9" t="s">
        <v>96</v>
      </c>
      <c r="L288" s="9" t="s">
        <v>97</v>
      </c>
      <c r="M288" s="53" t="s">
        <v>612</v>
      </c>
      <c r="N288" s="9" t="s">
        <v>799</v>
      </c>
      <c r="O288" s="70"/>
      <c r="P288" s="13"/>
      <c r="Q288" s="10"/>
      <c r="R288" s="10"/>
      <c r="S288" s="10"/>
      <c r="T288" s="13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 t="s">
        <v>100</v>
      </c>
      <c r="AL288" s="10"/>
      <c r="AM288" s="9" t="s">
        <v>811</v>
      </c>
      <c r="AN288" s="10" t="s">
        <v>329</v>
      </c>
      <c r="AO288" s="72"/>
      <c r="AP288" s="72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</row>
    <row r="289" spans="1:57" x14ac:dyDescent="0.25">
      <c r="A289" s="9">
        <v>283</v>
      </c>
      <c r="B289" s="48" t="s">
        <v>812</v>
      </c>
      <c r="C289" s="49" t="s">
        <v>813</v>
      </c>
      <c r="D289" s="6" t="s">
        <v>69</v>
      </c>
      <c r="E289" s="50" t="s">
        <v>72</v>
      </c>
      <c r="F289" s="51" t="s">
        <v>87</v>
      </c>
      <c r="G289" s="10"/>
      <c r="H289" s="9" t="s">
        <v>74</v>
      </c>
      <c r="I289" s="9" t="s">
        <v>74</v>
      </c>
      <c r="J289" s="9">
        <v>1</v>
      </c>
      <c r="K289" s="9" t="s">
        <v>96</v>
      </c>
      <c r="L289" s="9" t="s">
        <v>97</v>
      </c>
      <c r="M289" s="53" t="s">
        <v>597</v>
      </c>
      <c r="N289" s="9" t="s">
        <v>597</v>
      </c>
      <c r="O289" s="70"/>
      <c r="P289" s="13"/>
      <c r="Q289" s="10"/>
      <c r="R289" s="10"/>
      <c r="S289" s="10"/>
      <c r="T289" s="13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 t="s">
        <v>100</v>
      </c>
      <c r="AL289" s="10"/>
      <c r="AM289" s="9">
        <v>1</v>
      </c>
      <c r="AN289" s="10" t="s">
        <v>165</v>
      </c>
      <c r="AO289" s="72"/>
      <c r="AP289" s="72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</row>
    <row r="290" spans="1:57" x14ac:dyDescent="0.25">
      <c r="A290" s="9">
        <v>284</v>
      </c>
      <c r="B290" s="48" t="s">
        <v>812</v>
      </c>
      <c r="C290" s="49" t="s">
        <v>814</v>
      </c>
      <c r="D290" s="6" t="s">
        <v>69</v>
      </c>
      <c r="E290" s="50" t="s">
        <v>72</v>
      </c>
      <c r="F290" s="51" t="s">
        <v>87</v>
      </c>
      <c r="G290" s="10"/>
      <c r="H290" s="9" t="s">
        <v>74</v>
      </c>
      <c r="I290" s="9" t="s">
        <v>74</v>
      </c>
      <c r="J290" s="9">
        <v>1</v>
      </c>
      <c r="K290" s="9" t="s">
        <v>96</v>
      </c>
      <c r="L290" s="9" t="s">
        <v>97</v>
      </c>
      <c r="M290" s="53" t="s">
        <v>597</v>
      </c>
      <c r="N290" s="9" t="s">
        <v>597</v>
      </c>
      <c r="O290" s="70"/>
      <c r="P290" s="13"/>
      <c r="Q290" s="10"/>
      <c r="R290" s="10"/>
      <c r="S290" s="10"/>
      <c r="T290" s="13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 t="s">
        <v>100</v>
      </c>
      <c r="AL290" s="10"/>
      <c r="AM290" s="9">
        <v>1</v>
      </c>
      <c r="AN290" s="10" t="s">
        <v>165</v>
      </c>
      <c r="AO290" s="72"/>
      <c r="AP290" s="72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</row>
    <row r="291" spans="1:57" x14ac:dyDescent="0.25">
      <c r="A291" s="9">
        <v>285</v>
      </c>
      <c r="B291" s="48" t="s">
        <v>812</v>
      </c>
      <c r="C291" s="49" t="s">
        <v>815</v>
      </c>
      <c r="D291" s="6" t="s">
        <v>69</v>
      </c>
      <c r="E291" s="50" t="s">
        <v>72</v>
      </c>
      <c r="F291" s="51" t="s">
        <v>87</v>
      </c>
      <c r="G291" s="10"/>
      <c r="H291" s="9" t="s">
        <v>74</v>
      </c>
      <c r="I291" s="9" t="s">
        <v>74</v>
      </c>
      <c r="J291" s="9">
        <v>15</v>
      </c>
      <c r="K291" s="9" t="s">
        <v>96</v>
      </c>
      <c r="L291" s="9" t="s">
        <v>97</v>
      </c>
      <c r="M291" s="53" t="s">
        <v>597</v>
      </c>
      <c r="N291" s="9" t="s">
        <v>597</v>
      </c>
      <c r="O291" s="70"/>
      <c r="P291" s="13"/>
      <c r="Q291" s="10"/>
      <c r="R291" s="10"/>
      <c r="S291" s="10"/>
      <c r="T291" s="13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 t="s">
        <v>100</v>
      </c>
      <c r="AL291" s="10"/>
      <c r="AM291" s="9">
        <v>7</v>
      </c>
      <c r="AN291" s="10" t="s">
        <v>165</v>
      </c>
      <c r="AO291" s="72"/>
      <c r="AP291" s="72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</row>
    <row r="292" spans="1:57" x14ac:dyDescent="0.25">
      <c r="A292" s="9">
        <v>286</v>
      </c>
      <c r="B292" s="48" t="s">
        <v>816</v>
      </c>
      <c r="C292" s="49" t="s">
        <v>817</v>
      </c>
      <c r="D292" s="6" t="s">
        <v>69</v>
      </c>
      <c r="E292" s="50" t="s">
        <v>72</v>
      </c>
      <c r="F292" s="51" t="s">
        <v>87</v>
      </c>
      <c r="G292" s="10"/>
      <c r="H292" s="9" t="s">
        <v>88</v>
      </c>
      <c r="I292" s="9" t="s">
        <v>74</v>
      </c>
      <c r="J292" s="9">
        <v>6</v>
      </c>
      <c r="K292" s="9" t="s">
        <v>96</v>
      </c>
      <c r="L292" s="9" t="s">
        <v>97</v>
      </c>
      <c r="M292" s="53" t="s">
        <v>293</v>
      </c>
      <c r="N292" s="9" t="s">
        <v>818</v>
      </c>
      <c r="O292" s="70"/>
      <c r="P292" s="13"/>
      <c r="Q292" s="10"/>
      <c r="R292" s="10"/>
      <c r="S292" s="10"/>
      <c r="T292" s="13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 t="s">
        <v>100</v>
      </c>
      <c r="AL292" s="10"/>
      <c r="AM292" s="9" t="s">
        <v>819</v>
      </c>
      <c r="AN292" s="10" t="s">
        <v>282</v>
      </c>
      <c r="AO292" s="72">
        <v>46281</v>
      </c>
      <c r="AP292" s="72">
        <v>46281</v>
      </c>
      <c r="AQ292" s="10">
        <v>15</v>
      </c>
      <c r="AR292" s="10" t="s">
        <v>103</v>
      </c>
      <c r="AS292" s="2" t="s">
        <v>820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</row>
    <row r="293" spans="1:57" x14ac:dyDescent="0.25">
      <c r="A293" s="9">
        <v>287</v>
      </c>
      <c r="B293" s="48" t="s">
        <v>816</v>
      </c>
      <c r="C293" s="49" t="s">
        <v>821</v>
      </c>
      <c r="D293" s="6" t="s">
        <v>69</v>
      </c>
      <c r="E293" s="50" t="s">
        <v>72</v>
      </c>
      <c r="F293" s="51" t="s">
        <v>87</v>
      </c>
      <c r="G293" s="10"/>
      <c r="H293" s="9" t="s">
        <v>88</v>
      </c>
      <c r="I293" s="9" t="s">
        <v>74</v>
      </c>
      <c r="J293" s="9">
        <v>7</v>
      </c>
      <c r="K293" s="9" t="s">
        <v>96</v>
      </c>
      <c r="L293" s="9" t="s">
        <v>97</v>
      </c>
      <c r="M293" s="53" t="s">
        <v>293</v>
      </c>
      <c r="N293" s="9" t="s">
        <v>822</v>
      </c>
      <c r="O293" s="70"/>
      <c r="P293" s="13"/>
      <c r="Q293" s="10"/>
      <c r="R293" s="10"/>
      <c r="S293" s="10"/>
      <c r="T293" s="13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 t="s">
        <v>100</v>
      </c>
      <c r="AL293" s="10"/>
      <c r="AM293" s="9" t="s">
        <v>819</v>
      </c>
      <c r="AN293" s="10" t="s">
        <v>282</v>
      </c>
      <c r="AO293" s="72">
        <v>46281</v>
      </c>
      <c r="AP293" s="72">
        <v>46281</v>
      </c>
      <c r="AQ293" s="10">
        <v>38</v>
      </c>
      <c r="AR293" s="10" t="s">
        <v>103</v>
      </c>
      <c r="AS293" s="2" t="s">
        <v>823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</row>
    <row r="294" spans="1:57" x14ac:dyDescent="0.25">
      <c r="A294" s="9">
        <v>288</v>
      </c>
      <c r="B294" s="48" t="s">
        <v>816</v>
      </c>
      <c r="C294" s="49" t="s">
        <v>824</v>
      </c>
      <c r="D294" s="6" t="s">
        <v>69</v>
      </c>
      <c r="E294" s="50" t="s">
        <v>72</v>
      </c>
      <c r="F294" s="51" t="s">
        <v>87</v>
      </c>
      <c r="G294" s="10"/>
      <c r="H294" s="9" t="s">
        <v>88</v>
      </c>
      <c r="I294" s="9" t="s">
        <v>74</v>
      </c>
      <c r="J294" s="9">
        <v>13</v>
      </c>
      <c r="K294" s="9" t="s">
        <v>96</v>
      </c>
      <c r="L294" s="9" t="s">
        <v>97</v>
      </c>
      <c r="M294" s="53" t="s">
        <v>293</v>
      </c>
      <c r="N294" s="9" t="s">
        <v>825</v>
      </c>
      <c r="O294" s="70"/>
      <c r="P294" s="13"/>
      <c r="Q294" s="10"/>
      <c r="R294" s="10"/>
      <c r="S294" s="10"/>
      <c r="T294" s="13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 t="s">
        <v>100</v>
      </c>
      <c r="AL294" s="10"/>
      <c r="AM294" s="9" t="s">
        <v>826</v>
      </c>
      <c r="AN294" s="10" t="s">
        <v>282</v>
      </c>
      <c r="AO294" s="72">
        <v>46281</v>
      </c>
      <c r="AP294" s="72">
        <v>46281</v>
      </c>
      <c r="AQ294" s="10">
        <v>116</v>
      </c>
      <c r="AR294" s="10" t="s">
        <v>103</v>
      </c>
      <c r="AS294" s="2" t="s">
        <v>827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</row>
    <row r="295" spans="1:57" x14ac:dyDescent="0.25">
      <c r="A295" s="9">
        <v>289</v>
      </c>
      <c r="B295" s="48" t="s">
        <v>816</v>
      </c>
      <c r="C295" s="49" t="s">
        <v>828</v>
      </c>
      <c r="D295" s="6" t="s">
        <v>69</v>
      </c>
      <c r="E295" s="50" t="s">
        <v>72</v>
      </c>
      <c r="F295" s="51" t="s">
        <v>87</v>
      </c>
      <c r="G295" s="10"/>
      <c r="H295" s="9" t="s">
        <v>74</v>
      </c>
      <c r="I295" s="9" t="s">
        <v>74</v>
      </c>
      <c r="J295" s="9">
        <v>8</v>
      </c>
      <c r="K295" s="9" t="s">
        <v>96</v>
      </c>
      <c r="L295" s="9" t="s">
        <v>97</v>
      </c>
      <c r="M295" s="53" t="s">
        <v>293</v>
      </c>
      <c r="N295" s="9" t="s">
        <v>822</v>
      </c>
      <c r="O295" s="70"/>
      <c r="P295" s="13"/>
      <c r="Q295" s="10"/>
      <c r="R295" s="10"/>
      <c r="S295" s="10"/>
      <c r="T295" s="13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 t="s">
        <v>100</v>
      </c>
      <c r="AL295" s="10"/>
      <c r="AM295" s="9">
        <v>5</v>
      </c>
      <c r="AN295" s="10" t="s">
        <v>282</v>
      </c>
      <c r="AO295" s="72">
        <v>46281</v>
      </c>
      <c r="AP295" s="72">
        <v>46281</v>
      </c>
      <c r="AQ295" s="10">
        <v>10</v>
      </c>
      <c r="AR295" s="10" t="s">
        <v>103</v>
      </c>
      <c r="AS295" s="2" t="s">
        <v>829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</row>
    <row r="296" spans="1:57" x14ac:dyDescent="0.25">
      <c r="A296" s="9">
        <v>290</v>
      </c>
      <c r="B296" s="48" t="s">
        <v>816</v>
      </c>
      <c r="C296" s="49" t="s">
        <v>830</v>
      </c>
      <c r="D296" s="6" t="s">
        <v>69</v>
      </c>
      <c r="E296" s="50" t="s">
        <v>72</v>
      </c>
      <c r="F296" s="51" t="s">
        <v>87</v>
      </c>
      <c r="G296" s="10"/>
      <c r="H296" s="9" t="s">
        <v>74</v>
      </c>
      <c r="I296" s="9" t="s">
        <v>74</v>
      </c>
      <c r="J296" s="9">
        <v>16</v>
      </c>
      <c r="K296" s="9" t="s">
        <v>89</v>
      </c>
      <c r="L296" s="9" t="s">
        <v>76</v>
      </c>
      <c r="M296" s="53" t="s">
        <v>293</v>
      </c>
      <c r="N296" s="9" t="s">
        <v>831</v>
      </c>
      <c r="O296" s="70"/>
      <c r="P296" s="13"/>
      <c r="Q296" s="10"/>
      <c r="R296" s="10"/>
      <c r="S296" s="10"/>
      <c r="T296" s="13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72"/>
      <c r="AP296" s="72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 spans="1:57" x14ac:dyDescent="0.25">
      <c r="A297" s="9">
        <v>291</v>
      </c>
      <c r="B297" s="48" t="s">
        <v>816</v>
      </c>
      <c r="C297" s="49" t="s">
        <v>832</v>
      </c>
      <c r="D297" s="6" t="s">
        <v>69</v>
      </c>
      <c r="E297" s="50" t="s">
        <v>72</v>
      </c>
      <c r="F297" s="51" t="s">
        <v>87</v>
      </c>
      <c r="G297" s="10"/>
      <c r="H297" s="9" t="s">
        <v>74</v>
      </c>
      <c r="I297" s="9" t="s">
        <v>74</v>
      </c>
      <c r="J297" s="9">
        <v>36</v>
      </c>
      <c r="K297" s="9" t="s">
        <v>89</v>
      </c>
      <c r="L297" s="9" t="s">
        <v>76</v>
      </c>
      <c r="M297" s="53" t="s">
        <v>293</v>
      </c>
      <c r="N297" s="9" t="s">
        <v>825</v>
      </c>
      <c r="O297" s="70"/>
      <c r="P297" s="13"/>
      <c r="Q297" s="10"/>
      <c r="R297" s="10"/>
      <c r="S297" s="10"/>
      <c r="T297" s="13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72"/>
      <c r="AP297" s="72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</row>
    <row r="298" spans="1:57" x14ac:dyDescent="0.25">
      <c r="A298" s="9">
        <v>292</v>
      </c>
      <c r="B298" s="48" t="s">
        <v>833</v>
      </c>
      <c r="C298" s="49" t="s">
        <v>834</v>
      </c>
      <c r="D298" s="6" t="s">
        <v>69</v>
      </c>
      <c r="E298" s="50" t="s">
        <v>72</v>
      </c>
      <c r="F298" s="51" t="s">
        <v>87</v>
      </c>
      <c r="G298" s="10"/>
      <c r="H298" s="9" t="s">
        <v>88</v>
      </c>
      <c r="I298" s="9" t="s">
        <v>74</v>
      </c>
      <c r="J298" s="9">
        <v>12</v>
      </c>
      <c r="K298" s="9" t="s">
        <v>96</v>
      </c>
      <c r="L298" s="9" t="s">
        <v>97</v>
      </c>
      <c r="M298" s="53" t="s">
        <v>126</v>
      </c>
      <c r="N298" s="9" t="s">
        <v>835</v>
      </c>
      <c r="O298" s="70"/>
      <c r="P298" s="13"/>
      <c r="Q298" s="10"/>
      <c r="R298" s="10"/>
      <c r="S298" s="10"/>
      <c r="T298" s="13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 t="s">
        <v>100</v>
      </c>
      <c r="AL298" s="10"/>
      <c r="AM298" s="9" t="s">
        <v>836</v>
      </c>
      <c r="AN298" s="10" t="s">
        <v>206</v>
      </c>
      <c r="AO298" s="72">
        <v>46282</v>
      </c>
      <c r="AP298" s="72">
        <v>46282</v>
      </c>
      <c r="AQ298" s="10">
        <v>7</v>
      </c>
      <c r="AR298" s="10" t="s">
        <v>103</v>
      </c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</row>
    <row r="299" spans="1:57" s="47" customFormat="1" x14ac:dyDescent="0.25">
      <c r="A299" s="41">
        <v>293</v>
      </c>
      <c r="B299" s="42" t="s">
        <v>833</v>
      </c>
      <c r="C299" s="43" t="s">
        <v>837</v>
      </c>
      <c r="D299" s="44" t="s">
        <v>69</v>
      </c>
      <c r="E299" s="45" t="s">
        <v>70</v>
      </c>
      <c r="F299" s="44" t="s">
        <v>70</v>
      </c>
      <c r="G299" s="44" t="s">
        <v>70</v>
      </c>
      <c r="H299" s="44" t="s">
        <v>70</v>
      </c>
      <c r="I299" s="44" t="s">
        <v>70</v>
      </c>
      <c r="J299" s="44" t="s">
        <v>70</v>
      </c>
      <c r="K299" s="44" t="s">
        <v>70</v>
      </c>
      <c r="L299" s="44" t="s">
        <v>70</v>
      </c>
      <c r="M299" s="45" t="s">
        <v>70</v>
      </c>
      <c r="N299" s="44" t="s">
        <v>70</v>
      </c>
      <c r="O299" s="67"/>
      <c r="P299" s="46"/>
      <c r="Q299" s="41"/>
      <c r="R299" s="41"/>
      <c r="S299" s="41"/>
      <c r="T299" s="46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72"/>
      <c r="AP299" s="72"/>
      <c r="AQ299" s="41"/>
      <c r="AR299" s="41"/>
      <c r="AS299" s="41"/>
      <c r="AT299" s="41"/>
      <c r="AU299" s="41"/>
      <c r="AV299" s="41"/>
      <c r="AW299" s="41"/>
      <c r="AX299" s="41"/>
      <c r="AY299" s="10"/>
      <c r="AZ299" s="41"/>
      <c r="BA299" s="41"/>
      <c r="BB299" s="41"/>
      <c r="BC299" s="41"/>
      <c r="BD299" s="41"/>
      <c r="BE299" s="41"/>
    </row>
    <row r="300" spans="1:57" x14ac:dyDescent="0.25">
      <c r="A300" s="9">
        <v>294</v>
      </c>
      <c r="B300" s="48" t="s">
        <v>838</v>
      </c>
      <c r="C300" s="49" t="s">
        <v>839</v>
      </c>
      <c r="D300" s="6" t="s">
        <v>69</v>
      </c>
      <c r="E300" s="50" t="s">
        <v>72</v>
      </c>
      <c r="F300" s="10" t="s">
        <v>840</v>
      </c>
      <c r="G300" s="10"/>
      <c r="H300" s="9" t="s">
        <v>74</v>
      </c>
      <c r="I300" s="9" t="s">
        <v>74</v>
      </c>
      <c r="J300" s="9" t="s">
        <v>74</v>
      </c>
      <c r="K300" s="9" t="s">
        <v>75</v>
      </c>
      <c r="L300" s="9" t="s">
        <v>76</v>
      </c>
      <c r="M300" s="53" t="s">
        <v>126</v>
      </c>
      <c r="N300" s="9" t="s">
        <v>841</v>
      </c>
      <c r="O300" s="70"/>
      <c r="P300" s="13"/>
      <c r="Q300" s="10"/>
      <c r="R300" s="10"/>
      <c r="S300" s="10"/>
      <c r="T300" s="13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72"/>
      <c r="AP300" s="72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</row>
    <row r="301" spans="1:57" x14ac:dyDescent="0.25">
      <c r="A301" s="9">
        <v>295</v>
      </c>
      <c r="B301" s="48" t="s">
        <v>838</v>
      </c>
      <c r="C301" s="49" t="s">
        <v>842</v>
      </c>
      <c r="D301" s="6" t="s">
        <v>69</v>
      </c>
      <c r="E301" s="50" t="s">
        <v>72</v>
      </c>
      <c r="F301" s="10" t="s">
        <v>840</v>
      </c>
      <c r="G301" s="10"/>
      <c r="H301" s="9" t="s">
        <v>74</v>
      </c>
      <c r="I301" s="9" t="s">
        <v>74</v>
      </c>
      <c r="J301" s="9" t="s">
        <v>74</v>
      </c>
      <c r="K301" s="9" t="s">
        <v>75</v>
      </c>
      <c r="L301" s="9" t="s">
        <v>76</v>
      </c>
      <c r="M301" s="53" t="s">
        <v>126</v>
      </c>
      <c r="N301" s="9" t="s">
        <v>841</v>
      </c>
      <c r="O301" s="70"/>
      <c r="P301" s="13"/>
      <c r="Q301" s="10"/>
      <c r="R301" s="10"/>
      <c r="S301" s="10"/>
      <c r="T301" s="13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72"/>
      <c r="AP301" s="72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</row>
    <row r="302" spans="1:57" x14ac:dyDescent="0.25">
      <c r="A302" s="9">
        <v>296</v>
      </c>
      <c r="B302" s="48" t="s">
        <v>838</v>
      </c>
      <c r="C302" s="49" t="s">
        <v>843</v>
      </c>
      <c r="D302" s="6" t="s">
        <v>69</v>
      </c>
      <c r="E302" s="50" t="s">
        <v>72</v>
      </c>
      <c r="F302" s="51" t="s">
        <v>87</v>
      </c>
      <c r="G302" s="10"/>
      <c r="H302" s="9" t="s">
        <v>74</v>
      </c>
      <c r="I302" s="9" t="s">
        <v>74</v>
      </c>
      <c r="J302" s="9">
        <v>5</v>
      </c>
      <c r="K302" s="9" t="s">
        <v>89</v>
      </c>
      <c r="L302" s="9" t="s">
        <v>76</v>
      </c>
      <c r="M302" s="53" t="s">
        <v>126</v>
      </c>
      <c r="N302" s="9" t="s">
        <v>841</v>
      </c>
      <c r="O302" s="70"/>
      <c r="P302" s="13"/>
      <c r="Q302" s="10"/>
      <c r="R302" s="10"/>
      <c r="S302" s="10"/>
      <c r="T302" s="13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72"/>
      <c r="AP302" s="72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</row>
    <row r="303" spans="1:57" s="47" customFormat="1" x14ac:dyDescent="0.25">
      <c r="A303" s="41">
        <v>297</v>
      </c>
      <c r="B303" s="42" t="s">
        <v>844</v>
      </c>
      <c r="C303" s="43">
        <v>1</v>
      </c>
      <c r="D303" s="44" t="s">
        <v>69</v>
      </c>
      <c r="E303" s="45" t="s">
        <v>70</v>
      </c>
      <c r="F303" s="44" t="s">
        <v>70</v>
      </c>
      <c r="G303" s="44" t="s">
        <v>70</v>
      </c>
      <c r="H303" s="44" t="s">
        <v>70</v>
      </c>
      <c r="I303" s="44" t="s">
        <v>70</v>
      </c>
      <c r="J303" s="44" t="s">
        <v>70</v>
      </c>
      <c r="K303" s="44" t="s">
        <v>70</v>
      </c>
      <c r="L303" s="44" t="s">
        <v>70</v>
      </c>
      <c r="M303" s="45" t="s">
        <v>70</v>
      </c>
      <c r="N303" s="44" t="s">
        <v>70</v>
      </c>
      <c r="O303" s="67"/>
      <c r="P303" s="46"/>
      <c r="Q303" s="41"/>
      <c r="R303" s="41"/>
      <c r="S303" s="41"/>
      <c r="T303" s="46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72"/>
      <c r="AP303" s="72"/>
      <c r="AQ303" s="41"/>
      <c r="AR303" s="41"/>
      <c r="AS303" s="41"/>
      <c r="AT303" s="41"/>
      <c r="AU303" s="41"/>
      <c r="AV303" s="41"/>
      <c r="AW303" s="41"/>
      <c r="AX303" s="41"/>
      <c r="AY303" s="10"/>
      <c r="AZ303" s="41"/>
      <c r="BA303" s="41"/>
      <c r="BB303" s="41"/>
      <c r="BC303" s="41"/>
      <c r="BD303" s="41"/>
      <c r="BE303" s="41"/>
    </row>
    <row r="304" spans="1:57" s="47" customFormat="1" x14ac:dyDescent="0.25">
      <c r="A304" s="41">
        <v>298</v>
      </c>
      <c r="B304" s="42" t="s">
        <v>844</v>
      </c>
      <c r="C304" s="43">
        <v>2</v>
      </c>
      <c r="D304" s="44" t="s">
        <v>69</v>
      </c>
      <c r="E304" s="45" t="s">
        <v>70</v>
      </c>
      <c r="F304" s="44" t="s">
        <v>70</v>
      </c>
      <c r="G304" s="44" t="s">
        <v>70</v>
      </c>
      <c r="H304" s="44" t="s">
        <v>70</v>
      </c>
      <c r="I304" s="44" t="s">
        <v>70</v>
      </c>
      <c r="J304" s="44" t="s">
        <v>70</v>
      </c>
      <c r="K304" s="44" t="s">
        <v>70</v>
      </c>
      <c r="L304" s="44" t="s">
        <v>70</v>
      </c>
      <c r="M304" s="45" t="s">
        <v>70</v>
      </c>
      <c r="N304" s="44" t="s">
        <v>70</v>
      </c>
      <c r="O304" s="67"/>
      <c r="P304" s="46"/>
      <c r="Q304" s="41"/>
      <c r="R304" s="41"/>
      <c r="S304" s="41"/>
      <c r="T304" s="46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72"/>
      <c r="AP304" s="72"/>
      <c r="AQ304" s="41"/>
      <c r="AR304" s="41"/>
      <c r="AS304" s="41"/>
      <c r="AT304" s="41"/>
      <c r="AU304" s="41"/>
      <c r="AV304" s="41"/>
      <c r="AW304" s="41"/>
      <c r="AX304" s="41"/>
      <c r="AY304" s="10"/>
      <c r="AZ304" s="41"/>
      <c r="BA304" s="41"/>
      <c r="BB304" s="41"/>
      <c r="BC304" s="41"/>
      <c r="BD304" s="41"/>
      <c r="BE304" s="41"/>
    </row>
    <row r="305" spans="1:57" x14ac:dyDescent="0.25">
      <c r="A305" s="9">
        <v>299</v>
      </c>
      <c r="B305" s="48" t="s">
        <v>845</v>
      </c>
      <c r="C305" s="49" t="s">
        <v>846</v>
      </c>
      <c r="D305" s="6" t="s">
        <v>69</v>
      </c>
      <c r="E305" s="50" t="s">
        <v>72</v>
      </c>
      <c r="F305" s="10" t="s">
        <v>847</v>
      </c>
      <c r="G305" s="10"/>
      <c r="H305" s="9" t="s">
        <v>74</v>
      </c>
      <c r="I305" s="9" t="s">
        <v>74</v>
      </c>
      <c r="J305" s="9" t="s">
        <v>74</v>
      </c>
      <c r="K305" s="9" t="s">
        <v>75</v>
      </c>
      <c r="L305" s="9" t="s">
        <v>76</v>
      </c>
      <c r="M305" s="53" t="s">
        <v>177</v>
      </c>
      <c r="N305" s="9" t="s">
        <v>848</v>
      </c>
      <c r="O305" s="70"/>
      <c r="P305" s="13"/>
      <c r="Q305" s="10"/>
      <c r="R305" s="10"/>
      <c r="S305" s="10"/>
      <c r="T305" s="13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72"/>
      <c r="AP305" s="72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</row>
    <row r="306" spans="1:57" s="47" customFormat="1" x14ac:dyDescent="0.25">
      <c r="A306" s="41">
        <v>300</v>
      </c>
      <c r="B306" s="42" t="s">
        <v>845</v>
      </c>
      <c r="C306" s="43" t="s">
        <v>806</v>
      </c>
      <c r="D306" s="44" t="s">
        <v>69</v>
      </c>
      <c r="E306" s="45" t="s">
        <v>70</v>
      </c>
      <c r="F306" s="44" t="s">
        <v>70</v>
      </c>
      <c r="G306" s="44" t="s">
        <v>70</v>
      </c>
      <c r="H306" s="44" t="s">
        <v>70</v>
      </c>
      <c r="I306" s="44" t="s">
        <v>70</v>
      </c>
      <c r="J306" s="44" t="s">
        <v>70</v>
      </c>
      <c r="K306" s="44" t="s">
        <v>70</v>
      </c>
      <c r="L306" s="44" t="s">
        <v>70</v>
      </c>
      <c r="M306" s="45" t="s">
        <v>70</v>
      </c>
      <c r="N306" s="44" t="s">
        <v>70</v>
      </c>
      <c r="O306" s="67"/>
      <c r="P306" s="46"/>
      <c r="Q306" s="41"/>
      <c r="R306" s="41"/>
      <c r="S306" s="41"/>
      <c r="T306" s="46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72"/>
      <c r="AP306" s="72"/>
      <c r="AQ306" s="41"/>
      <c r="AR306" s="41"/>
      <c r="AS306" s="41"/>
      <c r="AT306" s="41"/>
      <c r="AU306" s="41"/>
      <c r="AV306" s="41"/>
      <c r="AW306" s="41"/>
      <c r="AX306" s="41"/>
      <c r="AY306" s="10"/>
      <c r="AZ306" s="41"/>
      <c r="BA306" s="41"/>
      <c r="BB306" s="41"/>
      <c r="BC306" s="41"/>
      <c r="BD306" s="41"/>
      <c r="BE306" s="41"/>
    </row>
    <row r="307" spans="1:57" x14ac:dyDescent="0.25">
      <c r="A307" s="9">
        <v>301</v>
      </c>
      <c r="B307" s="48" t="s">
        <v>845</v>
      </c>
      <c r="C307" s="49" t="s">
        <v>786</v>
      </c>
      <c r="D307" s="6" t="s">
        <v>69</v>
      </c>
      <c r="E307" s="50" t="s">
        <v>72</v>
      </c>
      <c r="F307" s="51" t="s">
        <v>87</v>
      </c>
      <c r="G307" s="10"/>
      <c r="H307" s="9" t="s">
        <v>74</v>
      </c>
      <c r="I307" s="9" t="s">
        <v>74</v>
      </c>
      <c r="J307" s="9">
        <v>1</v>
      </c>
      <c r="K307" s="9" t="s">
        <v>89</v>
      </c>
      <c r="L307" s="9" t="s">
        <v>76</v>
      </c>
      <c r="M307" s="53" t="s">
        <v>612</v>
      </c>
      <c r="N307" s="9" t="s">
        <v>612</v>
      </c>
      <c r="O307" s="70"/>
      <c r="P307" s="13"/>
      <c r="Q307" s="10"/>
      <c r="R307" s="10"/>
      <c r="S307" s="10"/>
      <c r="T307" s="13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72"/>
      <c r="AP307" s="72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</row>
    <row r="308" spans="1:57" x14ac:dyDescent="0.25">
      <c r="A308" s="9">
        <v>302</v>
      </c>
      <c r="B308" s="48" t="s">
        <v>849</v>
      </c>
      <c r="C308" s="49" t="s">
        <v>850</v>
      </c>
      <c r="D308" s="6" t="s">
        <v>69</v>
      </c>
      <c r="E308" s="50" t="s">
        <v>72</v>
      </c>
      <c r="F308" s="51" t="s">
        <v>87</v>
      </c>
      <c r="G308" s="10"/>
      <c r="H308" s="9" t="s">
        <v>645</v>
      </c>
      <c r="I308" s="9" t="s">
        <v>74</v>
      </c>
      <c r="J308" s="9">
        <v>480</v>
      </c>
      <c r="K308" s="9" t="s">
        <v>96</v>
      </c>
      <c r="L308" s="9" t="s">
        <v>97</v>
      </c>
      <c r="M308" s="53" t="s">
        <v>177</v>
      </c>
      <c r="N308" s="9" t="s">
        <v>848</v>
      </c>
      <c r="O308" s="70"/>
      <c r="P308" s="13"/>
      <c r="Q308" s="10"/>
      <c r="R308" s="10"/>
      <c r="S308" s="10"/>
      <c r="T308" s="13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9" t="s">
        <v>100</v>
      </c>
      <c r="AL308" s="10"/>
      <c r="AM308" s="9" t="s">
        <v>851</v>
      </c>
      <c r="AN308" s="10" t="s">
        <v>179</v>
      </c>
      <c r="AO308" s="72">
        <v>46278</v>
      </c>
      <c r="AP308" s="72">
        <v>46280</v>
      </c>
      <c r="AQ308" s="10">
        <v>1293</v>
      </c>
      <c r="AR308" s="10" t="s">
        <v>103</v>
      </c>
      <c r="AS308" s="2" t="s">
        <v>852</v>
      </c>
      <c r="AT308" s="10"/>
      <c r="AU308" s="10"/>
      <c r="AV308" s="10"/>
      <c r="AW308" s="10"/>
      <c r="AX308" s="10"/>
      <c r="AY308" s="10" t="s">
        <v>181</v>
      </c>
      <c r="AZ308" s="10"/>
      <c r="BA308" s="10"/>
      <c r="BB308" s="10"/>
      <c r="BC308" s="10"/>
      <c r="BD308" s="10"/>
      <c r="BE308" s="10"/>
    </row>
    <row r="309" spans="1:57" x14ac:dyDescent="0.25">
      <c r="A309" s="9">
        <v>303</v>
      </c>
      <c r="B309" s="48" t="s">
        <v>849</v>
      </c>
      <c r="C309" s="49" t="s">
        <v>853</v>
      </c>
      <c r="D309" s="6" t="s">
        <v>69</v>
      </c>
      <c r="E309" s="50" t="s">
        <v>72</v>
      </c>
      <c r="F309" s="51" t="s">
        <v>87</v>
      </c>
      <c r="G309" s="10"/>
      <c r="H309" s="9" t="s">
        <v>645</v>
      </c>
      <c r="I309" s="9" t="s">
        <v>74</v>
      </c>
      <c r="J309" s="9">
        <v>866</v>
      </c>
      <c r="K309" s="9" t="s">
        <v>96</v>
      </c>
      <c r="L309" s="9" t="s">
        <v>97</v>
      </c>
      <c r="M309" s="53" t="s">
        <v>177</v>
      </c>
      <c r="N309" s="9" t="s">
        <v>848</v>
      </c>
      <c r="O309" s="70"/>
      <c r="P309" s="13"/>
      <c r="Q309" s="10"/>
      <c r="R309" s="10"/>
      <c r="S309" s="10"/>
      <c r="T309" s="13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 t="s">
        <v>100</v>
      </c>
      <c r="AL309" s="10"/>
      <c r="AM309" s="9" t="s">
        <v>854</v>
      </c>
      <c r="AN309" s="10" t="s">
        <v>179</v>
      </c>
      <c r="AO309" s="72">
        <v>46281</v>
      </c>
      <c r="AP309" s="72">
        <v>46283</v>
      </c>
      <c r="AQ309" s="10">
        <v>869</v>
      </c>
      <c r="AR309" s="10" t="s">
        <v>103</v>
      </c>
      <c r="AS309" s="2" t="s">
        <v>855</v>
      </c>
      <c r="AT309" s="10"/>
      <c r="AU309" s="10"/>
      <c r="AV309" s="10"/>
      <c r="AW309" s="10"/>
      <c r="AX309" s="10"/>
      <c r="AY309" s="10" t="s">
        <v>181</v>
      </c>
      <c r="AZ309" s="10"/>
      <c r="BA309" s="10"/>
      <c r="BB309" s="10"/>
      <c r="BC309" s="10"/>
      <c r="BD309" s="10"/>
      <c r="BE309" s="10"/>
    </row>
    <row r="310" spans="1:57" s="47" customFormat="1" x14ac:dyDescent="0.25">
      <c r="A310" s="41">
        <v>304</v>
      </c>
      <c r="B310" s="42" t="s">
        <v>856</v>
      </c>
      <c r="C310" s="43" t="s">
        <v>806</v>
      </c>
      <c r="D310" s="44" t="s">
        <v>69</v>
      </c>
      <c r="E310" s="45" t="s">
        <v>70</v>
      </c>
      <c r="F310" s="44" t="s">
        <v>70</v>
      </c>
      <c r="G310" s="44" t="s">
        <v>70</v>
      </c>
      <c r="H310" s="44" t="s">
        <v>70</v>
      </c>
      <c r="I310" s="44" t="s">
        <v>70</v>
      </c>
      <c r="J310" s="44" t="s">
        <v>70</v>
      </c>
      <c r="K310" s="44" t="s">
        <v>70</v>
      </c>
      <c r="L310" s="44" t="s">
        <v>70</v>
      </c>
      <c r="M310" s="45" t="s">
        <v>70</v>
      </c>
      <c r="N310" s="44" t="s">
        <v>70</v>
      </c>
      <c r="O310" s="67"/>
      <c r="P310" s="46"/>
      <c r="Q310" s="41"/>
      <c r="R310" s="41"/>
      <c r="S310" s="41"/>
      <c r="T310" s="46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72"/>
      <c r="AP310" s="72"/>
      <c r="AQ310" s="41"/>
      <c r="AR310" s="41"/>
      <c r="AS310" s="41"/>
      <c r="AT310" s="41"/>
      <c r="AU310" s="41"/>
      <c r="AV310" s="41"/>
      <c r="AW310" s="41"/>
      <c r="AX310" s="41"/>
      <c r="AY310" s="10"/>
      <c r="AZ310" s="41"/>
      <c r="BA310" s="41"/>
      <c r="BB310" s="41"/>
      <c r="BC310" s="41"/>
      <c r="BD310" s="41"/>
      <c r="BE310" s="41"/>
    </row>
    <row r="311" spans="1:57" x14ac:dyDescent="0.25">
      <c r="A311" s="9">
        <v>305</v>
      </c>
      <c r="B311" s="48" t="s">
        <v>856</v>
      </c>
      <c r="C311" s="49" t="s">
        <v>786</v>
      </c>
      <c r="D311" s="6" t="s">
        <v>69</v>
      </c>
      <c r="E311" s="50" t="s">
        <v>72</v>
      </c>
      <c r="F311" s="51" t="s">
        <v>87</v>
      </c>
      <c r="G311" s="10"/>
      <c r="H311" s="9" t="s">
        <v>74</v>
      </c>
      <c r="I311" s="9" t="s">
        <v>74</v>
      </c>
      <c r="J311" s="9">
        <v>1</v>
      </c>
      <c r="K311" s="9" t="s">
        <v>89</v>
      </c>
      <c r="L311" s="9" t="s">
        <v>76</v>
      </c>
      <c r="M311" s="53" t="s">
        <v>612</v>
      </c>
      <c r="N311" s="9" t="s">
        <v>612</v>
      </c>
      <c r="O311" s="70"/>
      <c r="P311" s="13"/>
      <c r="Q311" s="10"/>
      <c r="R311" s="10"/>
      <c r="S311" s="10"/>
      <c r="T311" s="13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72"/>
      <c r="AP311" s="72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</row>
    <row r="312" spans="1:57" x14ac:dyDescent="0.25">
      <c r="A312" s="9">
        <v>306</v>
      </c>
      <c r="B312" s="48" t="s">
        <v>857</v>
      </c>
      <c r="C312" s="49" t="s">
        <v>858</v>
      </c>
      <c r="D312" s="6" t="s">
        <v>69</v>
      </c>
      <c r="E312" s="50" t="s">
        <v>72</v>
      </c>
      <c r="F312" s="51" t="s">
        <v>87</v>
      </c>
      <c r="G312" s="10"/>
      <c r="H312" s="9" t="s">
        <v>74</v>
      </c>
      <c r="I312" s="9" t="s">
        <v>74</v>
      </c>
      <c r="J312" s="9">
        <v>336</v>
      </c>
      <c r="K312" s="9" t="s">
        <v>96</v>
      </c>
      <c r="L312" s="9" t="s">
        <v>97</v>
      </c>
      <c r="M312" s="53" t="s">
        <v>177</v>
      </c>
      <c r="N312" s="9" t="s">
        <v>859</v>
      </c>
      <c r="O312" s="70"/>
      <c r="P312" s="13"/>
      <c r="Q312" s="10"/>
      <c r="R312" s="10"/>
      <c r="S312" s="10"/>
      <c r="T312" s="13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 t="s">
        <v>100</v>
      </c>
      <c r="AL312" s="10"/>
      <c r="AM312" s="9" t="s">
        <v>860</v>
      </c>
      <c r="AN312" s="10" t="s">
        <v>179</v>
      </c>
      <c r="AO312" s="72">
        <v>46282</v>
      </c>
      <c r="AP312" s="72">
        <v>46283</v>
      </c>
      <c r="AQ312" s="10">
        <v>363</v>
      </c>
      <c r="AR312" s="10" t="s">
        <v>103</v>
      </c>
      <c r="AS312" s="2" t="s">
        <v>861</v>
      </c>
      <c r="AT312" s="10"/>
      <c r="AU312" s="10"/>
      <c r="AV312" s="10"/>
      <c r="AW312" s="10"/>
      <c r="AX312" s="10"/>
      <c r="AY312" s="10" t="s">
        <v>181</v>
      </c>
      <c r="AZ312" s="10"/>
      <c r="BA312" s="10"/>
      <c r="BB312" s="10"/>
      <c r="BC312" s="10"/>
      <c r="BD312" s="10"/>
      <c r="BE312" s="10"/>
    </row>
    <row r="313" spans="1:57" x14ac:dyDescent="0.25">
      <c r="A313" s="9">
        <v>307</v>
      </c>
      <c r="B313" s="48" t="s">
        <v>857</v>
      </c>
      <c r="C313" s="49" t="s">
        <v>862</v>
      </c>
      <c r="D313" s="6" t="s">
        <v>69</v>
      </c>
      <c r="E313" s="50" t="s">
        <v>72</v>
      </c>
      <c r="F313" s="51" t="s">
        <v>87</v>
      </c>
      <c r="G313" s="10"/>
      <c r="H313" s="9" t="s">
        <v>74</v>
      </c>
      <c r="I313" s="9" t="s">
        <v>74</v>
      </c>
      <c r="J313" s="9">
        <v>227</v>
      </c>
      <c r="K313" s="9" t="s">
        <v>96</v>
      </c>
      <c r="L313" s="9" t="s">
        <v>97</v>
      </c>
      <c r="M313" s="53" t="s">
        <v>177</v>
      </c>
      <c r="N313" s="9" t="s">
        <v>859</v>
      </c>
      <c r="O313" s="70"/>
      <c r="P313" s="13"/>
      <c r="Q313" s="10"/>
      <c r="R313" s="10"/>
      <c r="S313" s="10"/>
      <c r="T313" s="13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 t="s">
        <v>100</v>
      </c>
      <c r="AL313" s="10"/>
      <c r="AM313" s="9" t="s">
        <v>863</v>
      </c>
      <c r="AN313" s="10" t="s">
        <v>179</v>
      </c>
      <c r="AO313" s="72">
        <v>46283</v>
      </c>
      <c r="AP313" s="72"/>
      <c r="AQ313" s="10"/>
      <c r="AR313" s="10"/>
      <c r="AS313" s="2" t="s">
        <v>864</v>
      </c>
      <c r="AT313" s="10"/>
      <c r="AU313" s="10"/>
      <c r="AV313" s="10"/>
      <c r="AW313" s="10"/>
      <c r="AX313" s="10"/>
      <c r="AY313" s="10" t="s">
        <v>181</v>
      </c>
      <c r="AZ313" s="10"/>
      <c r="BA313" s="10"/>
      <c r="BB313" s="10"/>
      <c r="BC313" s="10"/>
      <c r="BD313" s="10"/>
      <c r="BE313" s="10"/>
    </row>
    <row r="314" spans="1:57" x14ac:dyDescent="0.25">
      <c r="A314" s="9">
        <v>308</v>
      </c>
      <c r="B314" s="48" t="s">
        <v>865</v>
      </c>
      <c r="C314" s="49" t="s">
        <v>866</v>
      </c>
      <c r="D314" s="6" t="s">
        <v>69</v>
      </c>
      <c r="E314" s="50" t="s">
        <v>72</v>
      </c>
      <c r="F314" s="51" t="s">
        <v>87</v>
      </c>
      <c r="G314" s="10"/>
      <c r="H314" s="9">
        <v>4193</v>
      </c>
      <c r="I314" s="9" t="s">
        <v>74</v>
      </c>
      <c r="J314" s="9">
        <v>121</v>
      </c>
      <c r="K314" s="9" t="s">
        <v>96</v>
      </c>
      <c r="L314" s="9" t="s">
        <v>97</v>
      </c>
      <c r="M314" s="53" t="s">
        <v>612</v>
      </c>
      <c r="N314" s="9" t="s">
        <v>867</v>
      </c>
      <c r="O314" s="70"/>
      <c r="P314" s="13"/>
      <c r="Q314" s="10"/>
      <c r="R314" s="10"/>
      <c r="S314" s="10"/>
      <c r="T314" s="13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 t="s">
        <v>100</v>
      </c>
      <c r="AL314" s="10"/>
      <c r="AM314" s="74" t="s">
        <v>868</v>
      </c>
      <c r="AN314" s="10" t="s">
        <v>102</v>
      </c>
      <c r="AO314" s="72"/>
      <c r="AP314" s="72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</row>
    <row r="315" spans="1:57" x14ac:dyDescent="0.25">
      <c r="A315" s="9">
        <v>309</v>
      </c>
      <c r="B315" s="48" t="s">
        <v>865</v>
      </c>
      <c r="C315" s="49" t="s">
        <v>869</v>
      </c>
      <c r="D315" s="6" t="s">
        <v>69</v>
      </c>
      <c r="E315" s="50" t="s">
        <v>72</v>
      </c>
      <c r="F315" s="51" t="s">
        <v>87</v>
      </c>
      <c r="G315" s="10"/>
      <c r="H315" s="9">
        <v>4193</v>
      </c>
      <c r="I315" s="9" t="s">
        <v>74</v>
      </c>
      <c r="J315" s="9">
        <v>386</v>
      </c>
      <c r="K315" s="9" t="s">
        <v>96</v>
      </c>
      <c r="L315" s="9" t="s">
        <v>97</v>
      </c>
      <c r="M315" s="53" t="s">
        <v>612</v>
      </c>
      <c r="N315" s="9" t="s">
        <v>867</v>
      </c>
      <c r="O315" s="70"/>
      <c r="P315" s="13"/>
      <c r="Q315" s="10"/>
      <c r="R315" s="10"/>
      <c r="S315" s="10"/>
      <c r="T315" s="13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 t="s">
        <v>100</v>
      </c>
      <c r="AL315" s="10"/>
      <c r="AM315" s="9" t="s">
        <v>870</v>
      </c>
      <c r="AN315" s="10" t="s">
        <v>102</v>
      </c>
      <c r="AO315" s="72">
        <v>46283</v>
      </c>
      <c r="AP315" s="72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</row>
    <row r="316" spans="1:57" x14ac:dyDescent="0.25">
      <c r="A316" s="9">
        <v>310</v>
      </c>
      <c r="B316" s="48" t="s">
        <v>871</v>
      </c>
      <c r="C316" s="49" t="s">
        <v>566</v>
      </c>
      <c r="D316" s="6" t="s">
        <v>69</v>
      </c>
      <c r="E316" s="50" t="s">
        <v>72</v>
      </c>
      <c r="F316" s="51" t="s">
        <v>87</v>
      </c>
      <c r="G316" s="10"/>
      <c r="H316" s="9" t="s">
        <v>292</v>
      </c>
      <c r="I316" s="9" t="s">
        <v>74</v>
      </c>
      <c r="J316" s="9">
        <v>146</v>
      </c>
      <c r="K316" s="9" t="s">
        <v>748</v>
      </c>
      <c r="L316" s="9" t="s">
        <v>748</v>
      </c>
      <c r="M316" s="53" t="s">
        <v>540</v>
      </c>
      <c r="N316" s="9" t="s">
        <v>567</v>
      </c>
      <c r="O316" s="70"/>
      <c r="P316" s="13"/>
      <c r="Q316" s="10"/>
      <c r="R316" s="10"/>
      <c r="S316" s="10"/>
      <c r="T316" s="13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49" t="s">
        <v>872</v>
      </c>
      <c r="AM316" s="10"/>
      <c r="AN316" s="10"/>
      <c r="AO316" s="72"/>
      <c r="AP316" s="72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</row>
    <row r="317" spans="1:57" x14ac:dyDescent="0.25">
      <c r="A317" s="9">
        <v>311</v>
      </c>
      <c r="B317" s="48" t="s">
        <v>871</v>
      </c>
      <c r="C317" s="49" t="s">
        <v>569</v>
      </c>
      <c r="D317" s="6" t="s">
        <v>69</v>
      </c>
      <c r="E317" s="50" t="s">
        <v>72</v>
      </c>
      <c r="F317" s="51" t="s">
        <v>87</v>
      </c>
      <c r="G317" s="10"/>
      <c r="H317" s="9" t="s">
        <v>292</v>
      </c>
      <c r="I317" s="9" t="s">
        <v>74</v>
      </c>
      <c r="J317" s="9">
        <v>17</v>
      </c>
      <c r="K317" s="9" t="s">
        <v>748</v>
      </c>
      <c r="L317" s="9" t="s">
        <v>748</v>
      </c>
      <c r="M317" s="53" t="s">
        <v>540</v>
      </c>
      <c r="N317" s="9" t="s">
        <v>570</v>
      </c>
      <c r="O317" s="70"/>
      <c r="P317" s="13"/>
      <c r="Q317" s="10"/>
      <c r="R317" s="10"/>
      <c r="S317" s="10"/>
      <c r="T317" s="13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49" t="s">
        <v>873</v>
      </c>
      <c r="AM317" s="10"/>
      <c r="AN317" s="10"/>
      <c r="AO317" s="72"/>
      <c r="AP317" s="72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</row>
    <row r="318" spans="1:57" x14ac:dyDescent="0.25">
      <c r="A318" s="9">
        <v>312</v>
      </c>
      <c r="B318" s="48" t="s">
        <v>871</v>
      </c>
      <c r="C318" s="49" t="s">
        <v>572</v>
      </c>
      <c r="D318" s="6" t="s">
        <v>69</v>
      </c>
      <c r="E318" s="50" t="s">
        <v>72</v>
      </c>
      <c r="F318" s="51" t="s">
        <v>87</v>
      </c>
      <c r="G318" s="10"/>
      <c r="H318" s="9" t="s">
        <v>292</v>
      </c>
      <c r="I318" s="9" t="s">
        <v>74</v>
      </c>
      <c r="J318" s="9">
        <v>31</v>
      </c>
      <c r="K318" s="9" t="s">
        <v>748</v>
      </c>
      <c r="L318" s="9" t="s">
        <v>748</v>
      </c>
      <c r="M318" s="53" t="s">
        <v>540</v>
      </c>
      <c r="N318" s="9" t="s">
        <v>567</v>
      </c>
      <c r="O318" s="70"/>
      <c r="P318" s="13"/>
      <c r="Q318" s="10"/>
      <c r="R318" s="10"/>
      <c r="S318" s="10"/>
      <c r="T318" s="13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49" t="s">
        <v>874</v>
      </c>
      <c r="AM318" s="10"/>
      <c r="AN318" s="10"/>
      <c r="AO318" s="72"/>
      <c r="AP318" s="72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</row>
    <row r="319" spans="1:57" x14ac:dyDescent="0.25">
      <c r="A319" s="9">
        <v>313</v>
      </c>
      <c r="B319" s="48" t="s">
        <v>871</v>
      </c>
      <c r="C319" s="49" t="s">
        <v>573</v>
      </c>
      <c r="D319" s="6" t="s">
        <v>69</v>
      </c>
      <c r="E319" s="50" t="s">
        <v>72</v>
      </c>
      <c r="F319" s="51" t="s">
        <v>87</v>
      </c>
      <c r="G319" s="10"/>
      <c r="H319" s="9" t="s">
        <v>292</v>
      </c>
      <c r="I319" s="9" t="s">
        <v>74</v>
      </c>
      <c r="J319" s="9">
        <v>2</v>
      </c>
      <c r="K319" s="9" t="s">
        <v>748</v>
      </c>
      <c r="L319" s="9" t="s">
        <v>748</v>
      </c>
      <c r="M319" s="53" t="s">
        <v>540</v>
      </c>
      <c r="N319" s="9" t="s">
        <v>570</v>
      </c>
      <c r="O319" s="70"/>
      <c r="P319" s="13"/>
      <c r="Q319" s="10"/>
      <c r="R319" s="10"/>
      <c r="S319" s="10"/>
      <c r="T319" s="13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49" t="s">
        <v>875</v>
      </c>
      <c r="AM319" s="10"/>
      <c r="AN319" s="10"/>
      <c r="AO319" s="72"/>
      <c r="AP319" s="72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</row>
    <row r="320" spans="1:57" x14ac:dyDescent="0.25">
      <c r="A320" s="9">
        <v>314</v>
      </c>
      <c r="B320" s="48" t="s">
        <v>871</v>
      </c>
      <c r="C320" s="59" t="s">
        <v>574</v>
      </c>
      <c r="D320" s="6" t="s">
        <v>69</v>
      </c>
      <c r="E320" s="50" t="s">
        <v>72</v>
      </c>
      <c r="F320" s="51" t="s">
        <v>87</v>
      </c>
      <c r="G320" s="10"/>
      <c r="H320" s="9" t="s">
        <v>74</v>
      </c>
      <c r="I320" s="9" t="s">
        <v>74</v>
      </c>
      <c r="J320" s="9">
        <v>8</v>
      </c>
      <c r="K320" s="9" t="s">
        <v>748</v>
      </c>
      <c r="L320" s="9" t="s">
        <v>748</v>
      </c>
      <c r="M320" s="53" t="s">
        <v>540</v>
      </c>
      <c r="N320" s="9" t="s">
        <v>575</v>
      </c>
      <c r="O320" s="70"/>
      <c r="P320" s="13"/>
      <c r="Q320" s="10"/>
      <c r="R320" s="10"/>
      <c r="S320" s="10"/>
      <c r="T320" s="13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59" t="s">
        <v>876</v>
      </c>
      <c r="AM320" s="10"/>
      <c r="AN320" s="10"/>
      <c r="AO320" s="72"/>
      <c r="AP320" s="72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</row>
    <row r="321" spans="1:57" x14ac:dyDescent="0.25">
      <c r="A321" s="9">
        <v>315</v>
      </c>
      <c r="B321" s="48" t="s">
        <v>871</v>
      </c>
      <c r="C321" s="49" t="s">
        <v>576</v>
      </c>
      <c r="D321" s="6" t="s">
        <v>69</v>
      </c>
      <c r="E321" s="50" t="s">
        <v>72</v>
      </c>
      <c r="F321" s="51" t="s">
        <v>87</v>
      </c>
      <c r="G321" s="10"/>
      <c r="H321" s="9" t="s">
        <v>74</v>
      </c>
      <c r="I321" s="9" t="s">
        <v>74</v>
      </c>
      <c r="J321" s="9">
        <v>18</v>
      </c>
      <c r="K321" s="9" t="s">
        <v>748</v>
      </c>
      <c r="L321" s="9" t="s">
        <v>748</v>
      </c>
      <c r="M321" s="53" t="s">
        <v>540</v>
      </c>
      <c r="N321" s="9" t="s">
        <v>577</v>
      </c>
      <c r="O321" s="70"/>
      <c r="P321" s="13"/>
      <c r="Q321" s="10"/>
      <c r="R321" s="10"/>
      <c r="S321" s="10"/>
      <c r="T321" s="13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49" t="s">
        <v>877</v>
      </c>
      <c r="AM321" s="10"/>
      <c r="AN321" s="10"/>
      <c r="AO321" s="72"/>
      <c r="AP321" s="72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</row>
    <row r="322" spans="1:57" x14ac:dyDescent="0.25">
      <c r="A322" s="9">
        <v>316</v>
      </c>
      <c r="B322" s="48" t="s">
        <v>871</v>
      </c>
      <c r="C322" s="49" t="s">
        <v>579</v>
      </c>
      <c r="D322" s="6" t="s">
        <v>69</v>
      </c>
      <c r="E322" s="50" t="s">
        <v>72</v>
      </c>
      <c r="F322" s="51" t="s">
        <v>87</v>
      </c>
      <c r="G322" s="10"/>
      <c r="H322" s="9" t="s">
        <v>74</v>
      </c>
      <c r="I322" s="9" t="s">
        <v>74</v>
      </c>
      <c r="J322" s="9">
        <v>27</v>
      </c>
      <c r="K322" s="9" t="s">
        <v>748</v>
      </c>
      <c r="L322" s="9" t="s">
        <v>748</v>
      </c>
      <c r="M322" s="53" t="s">
        <v>540</v>
      </c>
      <c r="N322" s="9" t="s">
        <v>580</v>
      </c>
      <c r="O322" s="70"/>
      <c r="P322" s="13"/>
      <c r="Q322" s="10"/>
      <c r="R322" s="10"/>
      <c r="S322" s="10"/>
      <c r="T322" s="13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49" t="s">
        <v>878</v>
      </c>
      <c r="AM322" s="10"/>
      <c r="AN322" s="10"/>
      <c r="AO322" s="72"/>
      <c r="AP322" s="72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</row>
    <row r="323" spans="1:57" x14ac:dyDescent="0.25">
      <c r="A323" s="9">
        <v>317</v>
      </c>
      <c r="B323" s="48" t="s">
        <v>871</v>
      </c>
      <c r="C323" s="49" t="s">
        <v>582</v>
      </c>
      <c r="D323" s="6" t="s">
        <v>69</v>
      </c>
      <c r="E323" s="50" t="s">
        <v>72</v>
      </c>
      <c r="F323" s="51" t="s">
        <v>87</v>
      </c>
      <c r="G323" s="10"/>
      <c r="H323" s="9" t="s">
        <v>74</v>
      </c>
      <c r="I323" s="9" t="s">
        <v>74</v>
      </c>
      <c r="J323" s="9">
        <v>16</v>
      </c>
      <c r="K323" s="9" t="s">
        <v>748</v>
      </c>
      <c r="L323" s="9" t="s">
        <v>748</v>
      </c>
      <c r="M323" s="53" t="s">
        <v>540</v>
      </c>
      <c r="N323" s="9" t="s">
        <v>583</v>
      </c>
      <c r="O323" s="70"/>
      <c r="P323" s="13"/>
      <c r="Q323" s="10"/>
      <c r="R323" s="10"/>
      <c r="S323" s="10"/>
      <c r="T323" s="13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49" t="s">
        <v>879</v>
      </c>
      <c r="AM323" s="10"/>
      <c r="AN323" s="10"/>
      <c r="AO323" s="72"/>
      <c r="AP323" s="72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</row>
    <row r="324" spans="1:57" x14ac:dyDescent="0.25">
      <c r="A324" s="9">
        <v>318</v>
      </c>
      <c r="B324" s="48" t="s">
        <v>871</v>
      </c>
      <c r="C324" s="49" t="s">
        <v>585</v>
      </c>
      <c r="D324" s="6" t="s">
        <v>69</v>
      </c>
      <c r="E324" s="50" t="s">
        <v>72</v>
      </c>
      <c r="F324" s="51" t="s">
        <v>87</v>
      </c>
      <c r="G324" s="10"/>
      <c r="H324" s="9" t="s">
        <v>74</v>
      </c>
      <c r="I324" s="9" t="s">
        <v>74</v>
      </c>
      <c r="J324" s="9">
        <v>13</v>
      </c>
      <c r="K324" s="9" t="s">
        <v>748</v>
      </c>
      <c r="L324" s="9" t="s">
        <v>748</v>
      </c>
      <c r="M324" s="53" t="s">
        <v>540</v>
      </c>
      <c r="N324" s="9" t="s">
        <v>586</v>
      </c>
      <c r="O324" s="70"/>
      <c r="P324" s="13"/>
      <c r="Q324" s="10"/>
      <c r="R324" s="10"/>
      <c r="S324" s="10"/>
      <c r="T324" s="13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49" t="s">
        <v>880</v>
      </c>
      <c r="AM324" s="10"/>
      <c r="AN324" s="10"/>
      <c r="AO324" s="72"/>
      <c r="AP324" s="72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</row>
    <row r="325" spans="1:57" x14ac:dyDescent="0.25">
      <c r="A325" s="9">
        <v>319</v>
      </c>
      <c r="B325" s="48" t="s">
        <v>871</v>
      </c>
      <c r="C325" s="49" t="s">
        <v>587</v>
      </c>
      <c r="D325" s="6" t="s">
        <v>69</v>
      </c>
      <c r="E325" s="50" t="s">
        <v>72</v>
      </c>
      <c r="F325" s="51" t="s">
        <v>87</v>
      </c>
      <c r="G325" s="10"/>
      <c r="H325" s="9" t="s">
        <v>74</v>
      </c>
      <c r="I325" s="9" t="s">
        <v>74</v>
      </c>
      <c r="J325" s="9">
        <v>47</v>
      </c>
      <c r="K325" s="9" t="s">
        <v>748</v>
      </c>
      <c r="L325" s="9" t="s">
        <v>748</v>
      </c>
      <c r="M325" s="53" t="s">
        <v>540</v>
      </c>
      <c r="N325" s="9" t="s">
        <v>588</v>
      </c>
      <c r="O325" s="70"/>
      <c r="P325" s="13"/>
      <c r="Q325" s="10"/>
      <c r="R325" s="10"/>
      <c r="S325" s="10"/>
      <c r="T325" s="13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49" t="s">
        <v>881</v>
      </c>
      <c r="AM325" s="10"/>
      <c r="AN325" s="10"/>
      <c r="AO325" s="72"/>
      <c r="AP325" s="72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</row>
    <row r="326" spans="1:57" x14ac:dyDescent="0.25">
      <c r="A326" s="9">
        <v>320</v>
      </c>
      <c r="B326" s="48" t="s">
        <v>871</v>
      </c>
      <c r="C326" s="49" t="s">
        <v>590</v>
      </c>
      <c r="D326" s="6" t="s">
        <v>69</v>
      </c>
      <c r="E326" s="50" t="s">
        <v>72</v>
      </c>
      <c r="F326" s="51" t="s">
        <v>87</v>
      </c>
      <c r="G326" s="10"/>
      <c r="H326" s="9" t="s">
        <v>74</v>
      </c>
      <c r="I326" s="9" t="s">
        <v>74</v>
      </c>
      <c r="J326" s="9">
        <v>20</v>
      </c>
      <c r="K326" s="9" t="s">
        <v>748</v>
      </c>
      <c r="L326" s="9" t="s">
        <v>748</v>
      </c>
      <c r="M326" s="53" t="s">
        <v>540</v>
      </c>
      <c r="N326" s="9" t="s">
        <v>588</v>
      </c>
      <c r="O326" s="70"/>
      <c r="P326" s="13"/>
      <c r="Q326" s="10"/>
      <c r="R326" s="10"/>
      <c r="S326" s="10"/>
      <c r="T326" s="13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60" t="s">
        <v>882</v>
      </c>
      <c r="AM326" s="10"/>
      <c r="AN326" s="10"/>
      <c r="AO326" s="72"/>
      <c r="AP326" s="72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</row>
    <row r="327" spans="1:57" x14ac:dyDescent="0.25">
      <c r="A327" s="9">
        <v>321</v>
      </c>
      <c r="B327" s="48" t="s">
        <v>883</v>
      </c>
      <c r="C327" s="49" t="s">
        <v>884</v>
      </c>
      <c r="D327" s="6" t="s">
        <v>69</v>
      </c>
      <c r="E327" s="50" t="s">
        <v>72</v>
      </c>
      <c r="F327" s="51" t="s">
        <v>87</v>
      </c>
      <c r="G327" s="10"/>
      <c r="H327" s="9" t="s">
        <v>444</v>
      </c>
      <c r="I327" s="9" t="s">
        <v>74</v>
      </c>
      <c r="J327" s="9">
        <v>288</v>
      </c>
      <c r="K327" s="9" t="s">
        <v>96</v>
      </c>
      <c r="L327" s="9" t="s">
        <v>97</v>
      </c>
      <c r="M327" s="53" t="s">
        <v>885</v>
      </c>
      <c r="N327" s="9" t="s">
        <v>885</v>
      </c>
      <c r="O327" s="70"/>
      <c r="P327" s="13"/>
      <c r="Q327" s="10"/>
      <c r="R327" s="10"/>
      <c r="S327" s="10"/>
      <c r="T327" s="13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9" t="s">
        <v>100</v>
      </c>
      <c r="AL327" s="10"/>
      <c r="AM327" s="9" t="s">
        <v>886</v>
      </c>
      <c r="AN327" s="10" t="s">
        <v>102</v>
      </c>
      <c r="AO327" s="72">
        <v>46280</v>
      </c>
      <c r="AP327" s="72">
        <v>46280</v>
      </c>
      <c r="AQ327" s="10">
        <v>276</v>
      </c>
      <c r="AR327" s="10" t="s">
        <v>103</v>
      </c>
      <c r="AS327" s="2" t="s">
        <v>887</v>
      </c>
      <c r="AT327" s="10"/>
      <c r="AU327" s="10"/>
      <c r="AV327" s="10"/>
      <c r="AW327" s="10"/>
      <c r="AX327" s="10"/>
      <c r="AY327" s="10" t="s">
        <v>318</v>
      </c>
      <c r="AZ327" s="10"/>
      <c r="BA327" s="10"/>
      <c r="BB327" s="10"/>
      <c r="BC327" s="10"/>
      <c r="BD327" s="10"/>
      <c r="BE327" s="10"/>
    </row>
    <row r="328" spans="1:57" x14ac:dyDescent="0.25">
      <c r="A328" s="9">
        <v>322</v>
      </c>
      <c r="B328" s="48" t="s">
        <v>883</v>
      </c>
      <c r="C328" s="49" t="s">
        <v>888</v>
      </c>
      <c r="D328" s="6" t="s">
        <v>69</v>
      </c>
      <c r="E328" s="50" t="s">
        <v>72</v>
      </c>
      <c r="F328" s="51" t="s">
        <v>87</v>
      </c>
      <c r="G328" s="10"/>
      <c r="H328" s="9" t="s">
        <v>74</v>
      </c>
      <c r="I328" s="9" t="s">
        <v>74</v>
      </c>
      <c r="J328" s="9">
        <v>252</v>
      </c>
      <c r="K328" s="9" t="s">
        <v>89</v>
      </c>
      <c r="L328" s="9" t="s">
        <v>76</v>
      </c>
      <c r="M328" s="53" t="s">
        <v>885</v>
      </c>
      <c r="N328" s="9" t="s">
        <v>885</v>
      </c>
      <c r="O328" s="70"/>
      <c r="P328" s="13"/>
      <c r="Q328" s="10"/>
      <c r="R328" s="10"/>
      <c r="S328" s="10"/>
      <c r="T328" s="13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72"/>
      <c r="AP328" s="72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</row>
    <row r="329" spans="1:57" x14ac:dyDescent="0.25">
      <c r="A329" s="9">
        <v>323</v>
      </c>
      <c r="B329" s="48" t="s">
        <v>883</v>
      </c>
      <c r="C329" s="49" t="s">
        <v>889</v>
      </c>
      <c r="D329" s="6" t="s">
        <v>69</v>
      </c>
      <c r="E329" s="50" t="s">
        <v>72</v>
      </c>
      <c r="F329" s="51" t="s">
        <v>87</v>
      </c>
      <c r="G329" s="10"/>
      <c r="H329" s="9" t="s">
        <v>74</v>
      </c>
      <c r="I329" s="9" t="s">
        <v>74</v>
      </c>
      <c r="J329" s="9">
        <v>74</v>
      </c>
      <c r="K329" s="9" t="s">
        <v>89</v>
      </c>
      <c r="L329" s="9" t="s">
        <v>76</v>
      </c>
      <c r="M329" s="53" t="s">
        <v>885</v>
      </c>
      <c r="N329" s="9" t="s">
        <v>885</v>
      </c>
      <c r="O329" s="70"/>
      <c r="P329" s="13"/>
      <c r="Q329" s="10"/>
      <c r="R329" s="10"/>
      <c r="S329" s="10"/>
      <c r="T329" s="13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72"/>
      <c r="AP329" s="72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</row>
    <row r="330" spans="1:57" x14ac:dyDescent="0.25">
      <c r="A330" s="9">
        <v>324</v>
      </c>
      <c r="B330" s="48" t="s">
        <v>883</v>
      </c>
      <c r="C330" s="49" t="s">
        <v>890</v>
      </c>
      <c r="D330" s="6" t="s">
        <v>69</v>
      </c>
      <c r="E330" s="50" t="s">
        <v>72</v>
      </c>
      <c r="F330" s="51" t="s">
        <v>87</v>
      </c>
      <c r="G330" s="10"/>
      <c r="H330" s="9" t="s">
        <v>74</v>
      </c>
      <c r="I330" s="9" t="s">
        <v>74</v>
      </c>
      <c r="J330" s="9">
        <v>8</v>
      </c>
      <c r="K330" s="9" t="s">
        <v>89</v>
      </c>
      <c r="L330" s="9" t="s">
        <v>76</v>
      </c>
      <c r="M330" s="53" t="s">
        <v>885</v>
      </c>
      <c r="N330" s="9" t="s">
        <v>885</v>
      </c>
      <c r="O330" s="70"/>
      <c r="P330" s="13"/>
      <c r="Q330" s="10"/>
      <c r="R330" s="10"/>
      <c r="S330" s="10"/>
      <c r="T330" s="13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72"/>
      <c r="AP330" s="72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</row>
    <row r="331" spans="1:57" x14ac:dyDescent="0.25">
      <c r="A331" s="9">
        <v>325</v>
      </c>
      <c r="B331" s="48" t="s">
        <v>883</v>
      </c>
      <c r="C331" s="49" t="s">
        <v>891</v>
      </c>
      <c r="D331" s="6" t="s">
        <v>69</v>
      </c>
      <c r="E331" s="50" t="s">
        <v>72</v>
      </c>
      <c r="F331" s="51" t="s">
        <v>87</v>
      </c>
      <c r="G331" s="10"/>
      <c r="H331" s="9" t="s">
        <v>74</v>
      </c>
      <c r="I331" s="9" t="s">
        <v>74</v>
      </c>
      <c r="J331" s="9">
        <v>232</v>
      </c>
      <c r="K331" s="9" t="s">
        <v>96</v>
      </c>
      <c r="L331" s="9" t="s">
        <v>97</v>
      </c>
      <c r="M331" s="53" t="s">
        <v>885</v>
      </c>
      <c r="N331" s="9" t="s">
        <v>892</v>
      </c>
      <c r="O331" s="70"/>
      <c r="P331" s="13"/>
      <c r="Q331" s="10"/>
      <c r="R331" s="10"/>
      <c r="S331" s="10"/>
      <c r="T331" s="13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9" t="s">
        <v>100</v>
      </c>
      <c r="AL331" s="10"/>
      <c r="AM331" s="9" t="s">
        <v>893</v>
      </c>
      <c r="AN331" s="10" t="s">
        <v>102</v>
      </c>
      <c r="AO331" s="72">
        <v>46280</v>
      </c>
      <c r="AP331" s="72">
        <v>46280</v>
      </c>
      <c r="AQ331" s="10">
        <v>79</v>
      </c>
      <c r="AR331" s="10" t="s">
        <v>103</v>
      </c>
      <c r="AS331" s="2" t="s">
        <v>894</v>
      </c>
      <c r="AT331" s="10"/>
      <c r="AU331" s="10"/>
      <c r="AV331" s="10"/>
      <c r="AW331" s="10"/>
      <c r="AX331" s="10"/>
      <c r="AY331" s="10" t="s">
        <v>318</v>
      </c>
      <c r="AZ331" s="10"/>
      <c r="BA331" s="10"/>
      <c r="BB331" s="10"/>
      <c r="BC331" s="10"/>
      <c r="BD331" s="10"/>
      <c r="BE331" s="10"/>
    </row>
    <row r="332" spans="1:57" x14ac:dyDescent="0.25">
      <c r="A332" s="9">
        <v>326</v>
      </c>
      <c r="B332" s="48" t="s">
        <v>883</v>
      </c>
      <c r="C332" s="49" t="s">
        <v>895</v>
      </c>
      <c r="D332" s="6" t="s">
        <v>69</v>
      </c>
      <c r="E332" s="50" t="s">
        <v>72</v>
      </c>
      <c r="F332" s="51" t="s">
        <v>87</v>
      </c>
      <c r="G332" s="10"/>
      <c r="H332" s="9" t="s">
        <v>74</v>
      </c>
      <c r="I332" s="9" t="s">
        <v>74</v>
      </c>
      <c r="J332" s="9">
        <v>44</v>
      </c>
      <c r="K332" s="9" t="s">
        <v>96</v>
      </c>
      <c r="L332" s="9" t="s">
        <v>97</v>
      </c>
      <c r="M332" s="53" t="s">
        <v>885</v>
      </c>
      <c r="N332" s="9" t="s">
        <v>892</v>
      </c>
      <c r="O332" s="70"/>
      <c r="P332" s="13"/>
      <c r="Q332" s="10"/>
      <c r="R332" s="10"/>
      <c r="S332" s="10"/>
      <c r="T332" s="13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9" t="s">
        <v>100</v>
      </c>
      <c r="AL332" s="10"/>
      <c r="AM332" s="9" t="s">
        <v>896</v>
      </c>
      <c r="AN332" s="10" t="s">
        <v>102</v>
      </c>
      <c r="AO332" s="72">
        <v>46280</v>
      </c>
      <c r="AP332" s="72">
        <v>46280</v>
      </c>
      <c r="AQ332" s="10">
        <v>247</v>
      </c>
      <c r="AR332" s="10" t="s">
        <v>103</v>
      </c>
      <c r="AS332" s="2" t="s">
        <v>897</v>
      </c>
      <c r="AT332" s="10"/>
      <c r="AU332" s="10"/>
      <c r="AV332" s="10"/>
      <c r="AW332" s="10"/>
      <c r="AX332" s="10"/>
      <c r="AY332" s="10" t="s">
        <v>318</v>
      </c>
      <c r="AZ332" s="10"/>
      <c r="BA332" s="10"/>
      <c r="BB332" s="10"/>
      <c r="BC332" s="10"/>
      <c r="BD332" s="10"/>
      <c r="BE332" s="10"/>
    </row>
    <row r="333" spans="1:57" x14ac:dyDescent="0.25">
      <c r="A333" s="9">
        <v>327</v>
      </c>
      <c r="B333" s="48" t="s">
        <v>883</v>
      </c>
      <c r="C333" s="49" t="s">
        <v>898</v>
      </c>
      <c r="D333" s="6" t="s">
        <v>69</v>
      </c>
      <c r="E333" s="50" t="s">
        <v>72</v>
      </c>
      <c r="F333" s="51" t="s">
        <v>87</v>
      </c>
      <c r="G333" s="10"/>
      <c r="H333" s="9" t="s">
        <v>74</v>
      </c>
      <c r="I333" s="9" t="s">
        <v>74</v>
      </c>
      <c r="J333" s="9">
        <v>224</v>
      </c>
      <c r="K333" s="9" t="s">
        <v>96</v>
      </c>
      <c r="L333" s="9" t="s">
        <v>97</v>
      </c>
      <c r="M333" s="53" t="s">
        <v>885</v>
      </c>
      <c r="N333" s="9" t="s">
        <v>899</v>
      </c>
      <c r="O333" s="70"/>
      <c r="P333" s="13"/>
      <c r="Q333" s="10"/>
      <c r="R333" s="10"/>
      <c r="S333" s="10"/>
      <c r="T333" s="13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9" t="s">
        <v>100</v>
      </c>
      <c r="AL333" s="10"/>
      <c r="AM333" s="9" t="s">
        <v>900</v>
      </c>
      <c r="AN333" s="10" t="s">
        <v>102</v>
      </c>
      <c r="AO333" s="72">
        <v>46280</v>
      </c>
      <c r="AP333" s="72">
        <v>46280</v>
      </c>
      <c r="AQ333" s="10">
        <v>78</v>
      </c>
      <c r="AR333" s="10" t="s">
        <v>103</v>
      </c>
      <c r="AS333" s="2" t="s">
        <v>894</v>
      </c>
      <c r="AT333" s="10"/>
      <c r="AU333" s="10"/>
      <c r="AV333" s="10"/>
      <c r="AW333" s="10"/>
      <c r="AX333" s="10"/>
      <c r="AY333" s="10" t="s">
        <v>318</v>
      </c>
      <c r="AZ333" s="10"/>
      <c r="BA333" s="10"/>
      <c r="BB333" s="10"/>
      <c r="BC333" s="10"/>
      <c r="BD333" s="10"/>
      <c r="BE333" s="10"/>
    </row>
    <row r="334" spans="1:57" x14ac:dyDescent="0.25">
      <c r="A334" s="9">
        <v>328</v>
      </c>
      <c r="B334" s="48" t="s">
        <v>883</v>
      </c>
      <c r="C334" s="49" t="s">
        <v>901</v>
      </c>
      <c r="D334" s="6" t="s">
        <v>69</v>
      </c>
      <c r="E334" s="50" t="s">
        <v>72</v>
      </c>
      <c r="F334" s="51" t="s">
        <v>87</v>
      </c>
      <c r="G334" s="10"/>
      <c r="H334" s="9" t="s">
        <v>74</v>
      </c>
      <c r="I334" s="9" t="s">
        <v>74</v>
      </c>
      <c r="J334" s="9">
        <v>46</v>
      </c>
      <c r="K334" s="9" t="s">
        <v>96</v>
      </c>
      <c r="L334" s="9" t="s">
        <v>97</v>
      </c>
      <c r="M334" s="53" t="s">
        <v>885</v>
      </c>
      <c r="N334" s="9" t="s">
        <v>899</v>
      </c>
      <c r="O334" s="70"/>
      <c r="P334" s="13"/>
      <c r="Q334" s="10"/>
      <c r="R334" s="10"/>
      <c r="S334" s="10"/>
      <c r="T334" s="13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9" t="s">
        <v>100</v>
      </c>
      <c r="AL334" s="10"/>
      <c r="AM334" s="9" t="s">
        <v>902</v>
      </c>
      <c r="AN334" s="10" t="s">
        <v>102</v>
      </c>
      <c r="AO334" s="72">
        <v>46280</v>
      </c>
      <c r="AP334" s="72">
        <v>46280</v>
      </c>
      <c r="AQ334" s="10">
        <v>240</v>
      </c>
      <c r="AR334" s="10" t="s">
        <v>103</v>
      </c>
      <c r="AS334" s="2" t="s">
        <v>903</v>
      </c>
      <c r="AT334" s="10"/>
      <c r="AU334" s="10"/>
      <c r="AV334" s="10"/>
      <c r="AW334" s="10"/>
      <c r="AX334" s="10"/>
      <c r="AY334" s="10" t="s">
        <v>318</v>
      </c>
      <c r="AZ334" s="10"/>
      <c r="BA334" s="10"/>
      <c r="BB334" s="10"/>
      <c r="BC334" s="10"/>
      <c r="BD334" s="10"/>
      <c r="BE334" s="10"/>
    </row>
    <row r="335" spans="1:57" x14ac:dyDescent="0.25">
      <c r="A335" s="9">
        <v>329</v>
      </c>
      <c r="B335" s="48" t="s">
        <v>883</v>
      </c>
      <c r="C335" s="49" t="s">
        <v>904</v>
      </c>
      <c r="D335" s="6" t="s">
        <v>69</v>
      </c>
      <c r="E335" s="50" t="s">
        <v>72</v>
      </c>
      <c r="F335" s="51" t="s">
        <v>87</v>
      </c>
      <c r="G335" s="10"/>
      <c r="H335" s="9" t="s">
        <v>74</v>
      </c>
      <c r="I335" s="9" t="s">
        <v>74</v>
      </c>
      <c r="J335" s="9">
        <v>192</v>
      </c>
      <c r="K335" s="9" t="s">
        <v>96</v>
      </c>
      <c r="L335" s="9" t="s">
        <v>97</v>
      </c>
      <c r="M335" s="53" t="s">
        <v>885</v>
      </c>
      <c r="N335" s="9" t="s">
        <v>885</v>
      </c>
      <c r="O335" s="70"/>
      <c r="P335" s="13"/>
      <c r="Q335" s="10"/>
      <c r="R335" s="10"/>
      <c r="S335" s="10"/>
      <c r="T335" s="13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9" t="s">
        <v>100</v>
      </c>
      <c r="AL335" s="10"/>
      <c r="AM335" s="9" t="s">
        <v>905</v>
      </c>
      <c r="AN335" s="10" t="s">
        <v>102</v>
      </c>
      <c r="AO335" s="72">
        <v>46281</v>
      </c>
      <c r="AP335" s="72">
        <v>46281</v>
      </c>
      <c r="AQ335" s="10">
        <v>145</v>
      </c>
      <c r="AR335" s="10" t="s">
        <v>103</v>
      </c>
      <c r="AS335" s="2" t="s">
        <v>906</v>
      </c>
      <c r="AT335" s="10"/>
      <c r="AU335" s="10"/>
      <c r="AV335" s="10"/>
      <c r="AW335" s="10"/>
      <c r="AX335" s="10"/>
      <c r="AY335" s="10" t="s">
        <v>318</v>
      </c>
      <c r="AZ335" s="10"/>
      <c r="BA335" s="10"/>
      <c r="BB335" s="10"/>
      <c r="BC335" s="10"/>
      <c r="BD335" s="10"/>
      <c r="BE335" s="10"/>
    </row>
    <row r="336" spans="1:57" x14ac:dyDescent="0.25">
      <c r="A336" s="9">
        <v>330</v>
      </c>
      <c r="B336" s="48" t="s">
        <v>907</v>
      </c>
      <c r="C336" s="49" t="s">
        <v>908</v>
      </c>
      <c r="D336" s="6" t="s">
        <v>69</v>
      </c>
      <c r="E336" s="50" t="s">
        <v>72</v>
      </c>
      <c r="F336" s="51" t="s">
        <v>87</v>
      </c>
      <c r="G336" s="10"/>
      <c r="H336" s="9" t="s">
        <v>116</v>
      </c>
      <c r="I336" s="9" t="s">
        <v>74</v>
      </c>
      <c r="J336" s="9">
        <v>59</v>
      </c>
      <c r="K336" s="9" t="s">
        <v>96</v>
      </c>
      <c r="L336" s="9" t="s">
        <v>97</v>
      </c>
      <c r="M336" s="53" t="s">
        <v>909</v>
      </c>
      <c r="N336" s="9" t="s">
        <v>910</v>
      </c>
      <c r="O336" s="70"/>
      <c r="P336" s="13"/>
      <c r="Q336" s="10"/>
      <c r="R336" s="10"/>
      <c r="S336" s="10"/>
      <c r="T336" s="13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 t="s">
        <v>100</v>
      </c>
      <c r="AL336" s="10"/>
      <c r="AM336" s="9" t="s">
        <v>911</v>
      </c>
      <c r="AN336" s="10" t="s">
        <v>206</v>
      </c>
      <c r="AO336" s="72">
        <v>46282</v>
      </c>
      <c r="AP336" s="72">
        <v>46282</v>
      </c>
      <c r="AQ336" s="10">
        <v>419</v>
      </c>
      <c r="AR336" s="10" t="s">
        <v>103</v>
      </c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</row>
    <row r="337" spans="1:57" x14ac:dyDescent="0.25">
      <c r="A337" s="9">
        <v>331</v>
      </c>
      <c r="B337" s="48" t="s">
        <v>907</v>
      </c>
      <c r="C337" s="49" t="s">
        <v>912</v>
      </c>
      <c r="D337" s="6" t="s">
        <v>69</v>
      </c>
      <c r="E337" s="50" t="s">
        <v>72</v>
      </c>
      <c r="F337" s="51" t="s">
        <v>87</v>
      </c>
      <c r="G337" s="10"/>
      <c r="H337" s="9">
        <v>4193</v>
      </c>
      <c r="I337" s="9" t="s">
        <v>74</v>
      </c>
      <c r="J337" s="9">
        <v>19</v>
      </c>
      <c r="K337" s="9" t="s">
        <v>89</v>
      </c>
      <c r="L337" s="9" t="s">
        <v>76</v>
      </c>
      <c r="M337" s="53" t="s">
        <v>909</v>
      </c>
      <c r="N337" s="9" t="s">
        <v>910</v>
      </c>
      <c r="O337" s="70"/>
      <c r="P337" s="13"/>
      <c r="Q337" s="10"/>
      <c r="R337" s="10"/>
      <c r="S337" s="10"/>
      <c r="T337" s="13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72"/>
      <c r="AP337" s="72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</row>
    <row r="338" spans="1:57" x14ac:dyDescent="0.25">
      <c r="A338" s="9">
        <v>332</v>
      </c>
      <c r="B338" s="48" t="s">
        <v>907</v>
      </c>
      <c r="C338" s="49" t="s">
        <v>913</v>
      </c>
      <c r="D338" s="6" t="s">
        <v>69</v>
      </c>
      <c r="E338" s="50" t="s">
        <v>72</v>
      </c>
      <c r="F338" s="51" t="s">
        <v>87</v>
      </c>
      <c r="G338" s="10"/>
      <c r="H338" s="9" t="s">
        <v>74</v>
      </c>
      <c r="I338" s="9" t="s">
        <v>74</v>
      </c>
      <c r="J338" s="9">
        <v>28</v>
      </c>
      <c r="K338" s="9" t="s">
        <v>89</v>
      </c>
      <c r="L338" s="9" t="s">
        <v>76</v>
      </c>
      <c r="M338" s="53" t="s">
        <v>909</v>
      </c>
      <c r="N338" s="9" t="s">
        <v>910</v>
      </c>
      <c r="O338" s="70"/>
      <c r="P338" s="13"/>
      <c r="Q338" s="10"/>
      <c r="R338" s="10"/>
      <c r="S338" s="10"/>
      <c r="T338" s="13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72"/>
      <c r="AP338" s="72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</row>
    <row r="339" spans="1:57" x14ac:dyDescent="0.25">
      <c r="A339" s="9">
        <v>333</v>
      </c>
      <c r="B339" s="48" t="s">
        <v>907</v>
      </c>
      <c r="C339" s="49" t="s">
        <v>914</v>
      </c>
      <c r="D339" s="6" t="s">
        <v>69</v>
      </c>
      <c r="E339" s="50" t="s">
        <v>72</v>
      </c>
      <c r="F339" s="51" t="s">
        <v>87</v>
      </c>
      <c r="G339" s="10"/>
      <c r="H339" s="9" t="s">
        <v>74</v>
      </c>
      <c r="I339" s="9" t="s">
        <v>74</v>
      </c>
      <c r="J339" s="9">
        <v>22</v>
      </c>
      <c r="K339" s="9" t="s">
        <v>96</v>
      </c>
      <c r="L339" s="9" t="s">
        <v>97</v>
      </c>
      <c r="M339" s="53" t="s">
        <v>909</v>
      </c>
      <c r="N339" s="9" t="s">
        <v>910</v>
      </c>
      <c r="O339" s="70"/>
      <c r="P339" s="13"/>
      <c r="Q339" s="10"/>
      <c r="R339" s="10"/>
      <c r="S339" s="10"/>
      <c r="T339" s="13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 t="s">
        <v>100</v>
      </c>
      <c r="AL339" s="10"/>
      <c r="AM339" s="9">
        <v>19</v>
      </c>
      <c r="AN339" s="10" t="s">
        <v>206</v>
      </c>
      <c r="AO339" s="72">
        <v>46282</v>
      </c>
      <c r="AP339" s="72">
        <v>46282</v>
      </c>
      <c r="AQ339" s="10">
        <v>18</v>
      </c>
      <c r="AR339" s="10" t="s">
        <v>103</v>
      </c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</row>
    <row r="340" spans="1:57" s="47" customFormat="1" x14ac:dyDescent="0.25">
      <c r="A340" s="41">
        <v>334</v>
      </c>
      <c r="B340" s="42" t="s">
        <v>915</v>
      </c>
      <c r="C340" s="43">
        <v>1</v>
      </c>
      <c r="D340" s="44" t="s">
        <v>69</v>
      </c>
      <c r="E340" s="45" t="s">
        <v>70</v>
      </c>
      <c r="F340" s="44" t="s">
        <v>70</v>
      </c>
      <c r="G340" s="44" t="s">
        <v>70</v>
      </c>
      <c r="H340" s="44" t="s">
        <v>70</v>
      </c>
      <c r="I340" s="44" t="s">
        <v>70</v>
      </c>
      <c r="J340" s="44" t="s">
        <v>70</v>
      </c>
      <c r="K340" s="44" t="s">
        <v>70</v>
      </c>
      <c r="L340" s="44" t="s">
        <v>70</v>
      </c>
      <c r="M340" s="45" t="s">
        <v>70</v>
      </c>
      <c r="N340" s="44" t="s">
        <v>70</v>
      </c>
      <c r="O340" s="67"/>
      <c r="P340" s="46"/>
      <c r="Q340" s="41"/>
      <c r="R340" s="41"/>
      <c r="S340" s="41"/>
      <c r="T340" s="46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72"/>
      <c r="AP340" s="72"/>
      <c r="AQ340" s="41"/>
      <c r="AR340" s="41"/>
      <c r="AS340" s="41"/>
      <c r="AT340" s="41"/>
      <c r="AU340" s="41"/>
      <c r="AV340" s="41"/>
      <c r="AW340" s="41"/>
      <c r="AX340" s="41"/>
      <c r="AY340" s="10"/>
      <c r="AZ340" s="41"/>
      <c r="BA340" s="41"/>
      <c r="BB340" s="41"/>
      <c r="BC340" s="41"/>
      <c r="BD340" s="41"/>
      <c r="BE340" s="41"/>
    </row>
    <row r="341" spans="1:57" s="47" customFormat="1" x14ac:dyDescent="0.25">
      <c r="A341" s="41">
        <v>335</v>
      </c>
      <c r="B341" s="42" t="s">
        <v>915</v>
      </c>
      <c r="C341" s="43">
        <v>2</v>
      </c>
      <c r="D341" s="44" t="s">
        <v>69</v>
      </c>
      <c r="E341" s="45" t="s">
        <v>70</v>
      </c>
      <c r="F341" s="44" t="s">
        <v>70</v>
      </c>
      <c r="G341" s="44" t="s">
        <v>70</v>
      </c>
      <c r="H341" s="44" t="s">
        <v>70</v>
      </c>
      <c r="I341" s="44" t="s">
        <v>70</v>
      </c>
      <c r="J341" s="44" t="s">
        <v>70</v>
      </c>
      <c r="K341" s="44" t="s">
        <v>70</v>
      </c>
      <c r="L341" s="44" t="s">
        <v>70</v>
      </c>
      <c r="M341" s="45" t="s">
        <v>70</v>
      </c>
      <c r="N341" s="44" t="s">
        <v>70</v>
      </c>
      <c r="O341" s="67"/>
      <c r="P341" s="46"/>
      <c r="Q341" s="41"/>
      <c r="R341" s="41"/>
      <c r="S341" s="41"/>
      <c r="T341" s="46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72"/>
      <c r="AP341" s="72"/>
      <c r="AQ341" s="41"/>
      <c r="AR341" s="41"/>
      <c r="AS341" s="41"/>
      <c r="AT341" s="41"/>
      <c r="AU341" s="41"/>
      <c r="AV341" s="41"/>
      <c r="AW341" s="41"/>
      <c r="AX341" s="41"/>
      <c r="AY341" s="10"/>
      <c r="AZ341" s="41"/>
      <c r="BA341" s="41"/>
      <c r="BB341" s="41"/>
      <c r="BC341" s="41"/>
      <c r="BD341" s="41"/>
      <c r="BE341" s="41"/>
    </row>
    <row r="342" spans="1:57" x14ac:dyDescent="0.25">
      <c r="A342" s="9">
        <v>336</v>
      </c>
      <c r="B342" s="48" t="s">
        <v>916</v>
      </c>
      <c r="C342" s="49" t="s">
        <v>917</v>
      </c>
      <c r="D342" s="6" t="s">
        <v>69</v>
      </c>
      <c r="E342" s="50" t="s">
        <v>72</v>
      </c>
      <c r="F342" s="51" t="s">
        <v>87</v>
      </c>
      <c r="G342" s="10"/>
      <c r="H342" s="9" t="s">
        <v>444</v>
      </c>
      <c r="I342" s="9" t="s">
        <v>74</v>
      </c>
      <c r="J342" s="9">
        <v>91</v>
      </c>
      <c r="K342" s="9" t="s">
        <v>96</v>
      </c>
      <c r="L342" s="9" t="s">
        <v>97</v>
      </c>
      <c r="M342" s="53" t="s">
        <v>918</v>
      </c>
      <c r="N342" s="9" t="s">
        <v>919</v>
      </c>
      <c r="O342" s="70"/>
      <c r="P342" s="13"/>
      <c r="Q342" s="10"/>
      <c r="R342" s="10"/>
      <c r="S342" s="10"/>
      <c r="T342" s="13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 t="s">
        <v>100</v>
      </c>
      <c r="AL342" s="10"/>
      <c r="AM342" s="9" t="s">
        <v>920</v>
      </c>
      <c r="AN342" s="10" t="s">
        <v>165</v>
      </c>
      <c r="AO342" s="72">
        <v>46280</v>
      </c>
      <c r="AP342" s="72">
        <v>46281</v>
      </c>
      <c r="AQ342" s="10">
        <f>101+134</f>
        <v>235</v>
      </c>
      <c r="AR342" s="10" t="s">
        <v>103</v>
      </c>
      <c r="AS342" s="10"/>
      <c r="AT342" s="10"/>
      <c r="AU342" s="10"/>
      <c r="AV342" s="10"/>
      <c r="AW342" s="10"/>
      <c r="AX342" s="10"/>
      <c r="AY342" s="10" t="s">
        <v>105</v>
      </c>
      <c r="AZ342" s="10"/>
      <c r="BA342" s="10"/>
      <c r="BB342" s="10"/>
      <c r="BC342" s="10"/>
      <c r="BD342" s="10"/>
      <c r="BE342" s="10"/>
    </row>
    <row r="343" spans="1:57" x14ac:dyDescent="0.25">
      <c r="A343" s="9">
        <v>337</v>
      </c>
      <c r="B343" s="48" t="s">
        <v>916</v>
      </c>
      <c r="C343" s="49" t="s">
        <v>921</v>
      </c>
      <c r="D343" s="6" t="s">
        <v>69</v>
      </c>
      <c r="E343" s="50" t="s">
        <v>72</v>
      </c>
      <c r="F343" s="51" t="s">
        <v>87</v>
      </c>
      <c r="G343" s="10"/>
      <c r="H343" s="9" t="s">
        <v>444</v>
      </c>
      <c r="I343" s="9" t="s">
        <v>74</v>
      </c>
      <c r="J343" s="9">
        <v>113</v>
      </c>
      <c r="K343" s="9" t="s">
        <v>96</v>
      </c>
      <c r="L343" s="9" t="s">
        <v>97</v>
      </c>
      <c r="M343" s="53" t="s">
        <v>918</v>
      </c>
      <c r="N343" s="9" t="s">
        <v>922</v>
      </c>
      <c r="O343" s="70"/>
      <c r="P343" s="13"/>
      <c r="Q343" s="10"/>
      <c r="R343" s="10"/>
      <c r="S343" s="10"/>
      <c r="T343" s="13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 t="s">
        <v>100</v>
      </c>
      <c r="AL343" s="10"/>
      <c r="AM343" s="9" t="s">
        <v>923</v>
      </c>
      <c r="AN343" s="10" t="s">
        <v>165</v>
      </c>
      <c r="AO343" s="72">
        <v>46281</v>
      </c>
      <c r="AP343" s="72">
        <v>46281</v>
      </c>
      <c r="AQ343" s="10">
        <v>155</v>
      </c>
      <c r="AR343" s="10" t="s">
        <v>103</v>
      </c>
      <c r="AS343" s="10"/>
      <c r="AT343" s="10"/>
      <c r="AU343" s="10"/>
      <c r="AV343" s="10"/>
      <c r="AW343" s="10"/>
      <c r="AX343" s="10"/>
      <c r="AY343" s="10" t="s">
        <v>105</v>
      </c>
      <c r="AZ343" s="10"/>
      <c r="BA343" s="10"/>
      <c r="BB343" s="10"/>
      <c r="BC343" s="10"/>
      <c r="BD343" s="10"/>
      <c r="BE343" s="10"/>
    </row>
    <row r="344" spans="1:57" x14ac:dyDescent="0.25">
      <c r="A344" s="9">
        <v>338</v>
      </c>
      <c r="B344" s="48" t="s">
        <v>924</v>
      </c>
      <c r="C344" s="49" t="s">
        <v>925</v>
      </c>
      <c r="D344" s="6" t="s">
        <v>69</v>
      </c>
      <c r="E344" s="50" t="s">
        <v>72</v>
      </c>
      <c r="F344" s="51" t="s">
        <v>87</v>
      </c>
      <c r="G344" s="10"/>
      <c r="H344" s="9" t="s">
        <v>292</v>
      </c>
      <c r="I344" s="9" t="s">
        <v>74</v>
      </c>
      <c r="J344" s="9">
        <v>16</v>
      </c>
      <c r="K344" s="9" t="s">
        <v>96</v>
      </c>
      <c r="L344" s="9" t="s">
        <v>97</v>
      </c>
      <c r="M344" s="53" t="s">
        <v>918</v>
      </c>
      <c r="N344" s="9" t="s">
        <v>926</v>
      </c>
      <c r="O344" s="70"/>
      <c r="P344" s="13"/>
      <c r="Q344" s="10"/>
      <c r="R344" s="10"/>
      <c r="S344" s="10"/>
      <c r="T344" s="13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 t="s">
        <v>100</v>
      </c>
      <c r="AL344" s="10"/>
      <c r="AM344" s="9" t="s">
        <v>927</v>
      </c>
      <c r="AN344" s="10" t="s">
        <v>165</v>
      </c>
      <c r="AO344" s="72">
        <v>46281</v>
      </c>
      <c r="AP344" s="72">
        <v>46281</v>
      </c>
      <c r="AQ344" s="10">
        <v>21</v>
      </c>
      <c r="AR344" s="10" t="s">
        <v>103</v>
      </c>
      <c r="AS344" s="10"/>
      <c r="AT344" s="10"/>
      <c r="AU344" s="10"/>
      <c r="AV344" s="10"/>
      <c r="AW344" s="10"/>
      <c r="AX344" s="10"/>
      <c r="AY344" s="10" t="s">
        <v>105</v>
      </c>
      <c r="AZ344" s="10"/>
      <c r="BA344" s="10"/>
      <c r="BB344" s="10"/>
      <c r="BC344" s="10"/>
      <c r="BD344" s="10"/>
      <c r="BE344" s="10"/>
    </row>
    <row r="345" spans="1:57" x14ac:dyDescent="0.25">
      <c r="A345" s="9">
        <v>339</v>
      </c>
      <c r="B345" s="48" t="s">
        <v>924</v>
      </c>
      <c r="C345" s="49" t="s">
        <v>928</v>
      </c>
      <c r="D345" s="6" t="s">
        <v>69</v>
      </c>
      <c r="E345" s="50" t="s">
        <v>72</v>
      </c>
      <c r="F345" s="51" t="s">
        <v>87</v>
      </c>
      <c r="G345" s="10"/>
      <c r="H345" s="9" t="s">
        <v>74</v>
      </c>
      <c r="I345" s="9" t="s">
        <v>74</v>
      </c>
      <c r="J345" s="9">
        <v>50</v>
      </c>
      <c r="K345" s="9" t="s">
        <v>89</v>
      </c>
      <c r="L345" s="9" t="s">
        <v>76</v>
      </c>
      <c r="M345" s="53" t="s">
        <v>918</v>
      </c>
      <c r="N345" s="9" t="s">
        <v>926</v>
      </c>
      <c r="O345" s="70"/>
      <c r="P345" s="13"/>
      <c r="Q345" s="10"/>
      <c r="R345" s="10"/>
      <c r="S345" s="10"/>
      <c r="T345" s="13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72"/>
      <c r="AP345" s="72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</row>
    <row r="346" spans="1:57" x14ac:dyDescent="0.25">
      <c r="A346" s="9">
        <v>340</v>
      </c>
      <c r="B346" s="48" t="s">
        <v>924</v>
      </c>
      <c r="C346" s="49" t="s">
        <v>929</v>
      </c>
      <c r="D346" s="6" t="s">
        <v>69</v>
      </c>
      <c r="E346" s="50" t="s">
        <v>72</v>
      </c>
      <c r="F346" s="51" t="s">
        <v>87</v>
      </c>
      <c r="G346" s="10"/>
      <c r="H346" s="9" t="s">
        <v>74</v>
      </c>
      <c r="I346" s="9" t="s">
        <v>74</v>
      </c>
      <c r="J346" s="9">
        <v>56</v>
      </c>
      <c r="K346" s="9" t="s">
        <v>96</v>
      </c>
      <c r="L346" s="9" t="s">
        <v>97</v>
      </c>
      <c r="M346" s="53" t="s">
        <v>918</v>
      </c>
      <c r="N346" s="9" t="s">
        <v>926</v>
      </c>
      <c r="O346" s="70"/>
      <c r="P346" s="13"/>
      <c r="Q346" s="10"/>
      <c r="R346" s="10"/>
      <c r="S346" s="10"/>
      <c r="T346" s="13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 t="s">
        <v>100</v>
      </c>
      <c r="AL346" s="10"/>
      <c r="AM346" s="9">
        <v>14</v>
      </c>
      <c r="AN346" s="10" t="s">
        <v>165</v>
      </c>
      <c r="AO346" s="72">
        <v>46281</v>
      </c>
      <c r="AP346" s="72">
        <v>46281</v>
      </c>
      <c r="AQ346" s="10">
        <v>20</v>
      </c>
      <c r="AR346" s="10" t="s">
        <v>103</v>
      </c>
      <c r="AS346" s="10"/>
      <c r="AT346" s="10"/>
      <c r="AU346" s="10"/>
      <c r="AV346" s="10"/>
      <c r="AW346" s="10"/>
      <c r="AX346" s="10"/>
      <c r="AY346" s="10" t="s">
        <v>105</v>
      </c>
      <c r="AZ346" s="10"/>
      <c r="BA346" s="10"/>
      <c r="BB346" s="10"/>
      <c r="BC346" s="10"/>
      <c r="BD346" s="10"/>
      <c r="BE346" s="10"/>
    </row>
    <row r="347" spans="1:57" x14ac:dyDescent="0.25">
      <c r="A347" s="9">
        <v>341</v>
      </c>
      <c r="B347" s="48" t="s">
        <v>930</v>
      </c>
      <c r="C347" s="49" t="s">
        <v>931</v>
      </c>
      <c r="D347" s="6" t="s">
        <v>69</v>
      </c>
      <c r="E347" s="50" t="s">
        <v>72</v>
      </c>
      <c r="F347" s="51" t="s">
        <v>87</v>
      </c>
      <c r="G347" s="10"/>
      <c r="H347" s="9" t="s">
        <v>88</v>
      </c>
      <c r="I347" s="9" t="s">
        <v>74</v>
      </c>
      <c r="J347" s="9">
        <v>8</v>
      </c>
      <c r="K347" s="9" t="s">
        <v>96</v>
      </c>
      <c r="L347" s="9" t="s">
        <v>97</v>
      </c>
      <c r="M347" s="53" t="s">
        <v>932</v>
      </c>
      <c r="N347" s="9" t="s">
        <v>933</v>
      </c>
      <c r="O347" s="70"/>
      <c r="P347" s="13"/>
      <c r="Q347" s="10"/>
      <c r="R347" s="10"/>
      <c r="S347" s="10"/>
      <c r="T347" s="13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 t="s">
        <v>100</v>
      </c>
      <c r="AL347" s="10"/>
      <c r="AM347" s="9" t="s">
        <v>934</v>
      </c>
      <c r="AN347" s="10" t="s">
        <v>175</v>
      </c>
      <c r="AO347" s="72">
        <v>46282</v>
      </c>
      <c r="AP347" s="72">
        <v>46282</v>
      </c>
      <c r="AQ347" s="10">
        <v>29</v>
      </c>
      <c r="AR347" s="10" t="s">
        <v>103</v>
      </c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</row>
    <row r="348" spans="1:57" s="47" customFormat="1" x14ac:dyDescent="0.25">
      <c r="A348" s="41">
        <v>342</v>
      </c>
      <c r="B348" s="42" t="s">
        <v>930</v>
      </c>
      <c r="C348" s="43" t="s">
        <v>933</v>
      </c>
      <c r="D348" s="44" t="s">
        <v>69</v>
      </c>
      <c r="E348" s="45" t="s">
        <v>70</v>
      </c>
      <c r="F348" s="44" t="s">
        <v>70</v>
      </c>
      <c r="G348" s="44" t="s">
        <v>70</v>
      </c>
      <c r="H348" s="44" t="s">
        <v>70</v>
      </c>
      <c r="I348" s="44" t="s">
        <v>70</v>
      </c>
      <c r="J348" s="44" t="s">
        <v>70</v>
      </c>
      <c r="K348" s="44" t="s">
        <v>70</v>
      </c>
      <c r="L348" s="44" t="s">
        <v>70</v>
      </c>
      <c r="M348" s="45" t="s">
        <v>70</v>
      </c>
      <c r="N348" s="44" t="s">
        <v>70</v>
      </c>
      <c r="O348" s="67"/>
      <c r="P348" s="46"/>
      <c r="Q348" s="41"/>
      <c r="R348" s="41"/>
      <c r="S348" s="41"/>
      <c r="T348" s="46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72"/>
      <c r="AP348" s="72"/>
      <c r="AQ348" s="41"/>
      <c r="AR348" s="41"/>
      <c r="AS348" s="41"/>
      <c r="AT348" s="41"/>
      <c r="AU348" s="41"/>
      <c r="AV348" s="41"/>
      <c r="AW348" s="41"/>
      <c r="AX348" s="41"/>
      <c r="AY348" s="10"/>
      <c r="AZ348" s="41"/>
      <c r="BA348" s="41"/>
      <c r="BB348" s="41"/>
      <c r="BC348" s="41"/>
      <c r="BD348" s="41"/>
      <c r="BE348" s="41"/>
    </row>
    <row r="349" spans="1:57" x14ac:dyDescent="0.25">
      <c r="A349" s="9">
        <v>343</v>
      </c>
      <c r="B349" s="48" t="s">
        <v>935</v>
      </c>
      <c r="C349" s="49" t="s">
        <v>839</v>
      </c>
      <c r="D349" s="6" t="s">
        <v>69</v>
      </c>
      <c r="E349" s="50" t="s">
        <v>72</v>
      </c>
      <c r="F349" s="10" t="s">
        <v>840</v>
      </c>
      <c r="G349" s="10"/>
      <c r="H349" s="9" t="s">
        <v>74</v>
      </c>
      <c r="I349" s="9" t="s">
        <v>74</v>
      </c>
      <c r="J349" s="9" t="s">
        <v>74</v>
      </c>
      <c r="K349" s="9" t="s">
        <v>75</v>
      </c>
      <c r="L349" s="9" t="s">
        <v>76</v>
      </c>
      <c r="M349" s="66" t="s">
        <v>293</v>
      </c>
      <c r="N349" s="9" t="s">
        <v>841</v>
      </c>
      <c r="O349" s="70"/>
      <c r="P349" s="13"/>
      <c r="Q349" s="10"/>
      <c r="R349" s="10"/>
      <c r="S349" s="10"/>
      <c r="T349" s="13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72"/>
      <c r="AP349" s="72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</row>
    <row r="350" spans="1:57" x14ac:dyDescent="0.25">
      <c r="A350" s="9">
        <v>344</v>
      </c>
      <c r="B350" s="48" t="s">
        <v>935</v>
      </c>
      <c r="C350" s="49" t="s">
        <v>842</v>
      </c>
      <c r="D350" s="6" t="s">
        <v>69</v>
      </c>
      <c r="E350" s="50" t="s">
        <v>72</v>
      </c>
      <c r="F350" s="10" t="s">
        <v>840</v>
      </c>
      <c r="G350" s="10"/>
      <c r="H350" s="9" t="s">
        <v>74</v>
      </c>
      <c r="I350" s="9" t="s">
        <v>74</v>
      </c>
      <c r="J350" s="9" t="s">
        <v>74</v>
      </c>
      <c r="K350" s="9" t="s">
        <v>75</v>
      </c>
      <c r="L350" s="9" t="s">
        <v>76</v>
      </c>
      <c r="M350" s="66" t="s">
        <v>293</v>
      </c>
      <c r="N350" s="9" t="s">
        <v>841</v>
      </c>
      <c r="O350" s="70"/>
      <c r="P350" s="13"/>
      <c r="Q350" s="10"/>
      <c r="R350" s="10"/>
      <c r="S350" s="10"/>
      <c r="T350" s="13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72"/>
      <c r="AP350" s="72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</row>
    <row r="351" spans="1:57" x14ac:dyDescent="0.25">
      <c r="A351" s="9">
        <v>345</v>
      </c>
      <c r="B351" s="48" t="s">
        <v>935</v>
      </c>
      <c r="C351" s="49" t="s">
        <v>936</v>
      </c>
      <c r="D351" s="6" t="s">
        <v>69</v>
      </c>
      <c r="E351" s="50" t="s">
        <v>72</v>
      </c>
      <c r="F351" s="51" t="s">
        <v>73</v>
      </c>
      <c r="G351" s="10"/>
      <c r="H351" s="9" t="s">
        <v>74</v>
      </c>
      <c r="I351" s="9" t="s">
        <v>74</v>
      </c>
      <c r="J351" s="9" t="s">
        <v>74</v>
      </c>
      <c r="K351" s="9" t="s">
        <v>75</v>
      </c>
      <c r="L351" s="9" t="s">
        <v>76</v>
      </c>
      <c r="M351" s="53" t="s">
        <v>932</v>
      </c>
      <c r="N351" s="9" t="s">
        <v>933</v>
      </c>
      <c r="O351" s="70"/>
      <c r="P351" s="13"/>
      <c r="Q351" s="10"/>
      <c r="R351" s="10"/>
      <c r="S351" s="10"/>
      <c r="T351" s="13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72"/>
      <c r="AP351" s="72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</row>
    <row r="352" spans="1:57" x14ac:dyDescent="0.25">
      <c r="A352" s="9">
        <v>346</v>
      </c>
      <c r="B352" s="48" t="s">
        <v>935</v>
      </c>
      <c r="C352" s="49" t="s">
        <v>937</v>
      </c>
      <c r="D352" s="6" t="s">
        <v>69</v>
      </c>
      <c r="E352" s="50" t="s">
        <v>72</v>
      </c>
      <c r="F352" s="51" t="s">
        <v>87</v>
      </c>
      <c r="G352" s="10"/>
      <c r="H352" s="9" t="s">
        <v>74</v>
      </c>
      <c r="I352" s="9" t="s">
        <v>74</v>
      </c>
      <c r="J352" s="9">
        <v>15</v>
      </c>
      <c r="K352" s="9" t="s">
        <v>89</v>
      </c>
      <c r="L352" s="9" t="s">
        <v>76</v>
      </c>
      <c r="M352" s="53" t="s">
        <v>932</v>
      </c>
      <c r="N352" s="9" t="s">
        <v>933</v>
      </c>
      <c r="O352" s="70"/>
      <c r="P352" s="13"/>
      <c r="Q352" s="10"/>
      <c r="R352" s="10"/>
      <c r="S352" s="10"/>
      <c r="T352" s="13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72"/>
      <c r="AP352" s="72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</row>
    <row r="353" spans="1:57" x14ac:dyDescent="0.25">
      <c r="A353" s="9">
        <v>347</v>
      </c>
      <c r="B353" s="48" t="s">
        <v>938</v>
      </c>
      <c r="C353" s="49" t="s">
        <v>939</v>
      </c>
      <c r="D353" s="6" t="s">
        <v>69</v>
      </c>
      <c r="E353" s="50" t="s">
        <v>72</v>
      </c>
      <c r="F353" s="51" t="s">
        <v>87</v>
      </c>
      <c r="G353" s="10"/>
      <c r="H353" s="9" t="s">
        <v>292</v>
      </c>
      <c r="I353" s="9" t="s">
        <v>74</v>
      </c>
      <c r="J353" s="9">
        <v>59</v>
      </c>
      <c r="K353" s="9" t="s">
        <v>96</v>
      </c>
      <c r="L353" s="9" t="s">
        <v>97</v>
      </c>
      <c r="M353" s="53" t="s">
        <v>716</v>
      </c>
      <c r="N353" s="9" t="s">
        <v>940</v>
      </c>
      <c r="O353" s="70"/>
      <c r="P353" s="13"/>
      <c r="Q353" s="10"/>
      <c r="R353" s="10"/>
      <c r="S353" s="10"/>
      <c r="T353" s="13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9" t="s">
        <v>100</v>
      </c>
      <c r="AL353" s="10"/>
      <c r="AM353" s="9" t="s">
        <v>941</v>
      </c>
      <c r="AN353" s="10" t="s">
        <v>282</v>
      </c>
      <c r="AO353" s="72">
        <v>46281</v>
      </c>
      <c r="AP353" s="72">
        <v>46281</v>
      </c>
      <c r="AQ353" s="10">
        <v>169</v>
      </c>
      <c r="AR353" s="10" t="s">
        <v>103</v>
      </c>
      <c r="AS353" s="2" t="s">
        <v>942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</row>
    <row r="354" spans="1:57" x14ac:dyDescent="0.25">
      <c r="A354" s="9">
        <v>348</v>
      </c>
      <c r="B354" s="48" t="s">
        <v>938</v>
      </c>
      <c r="C354" s="49" t="s">
        <v>943</v>
      </c>
      <c r="D354" s="6" t="s">
        <v>69</v>
      </c>
      <c r="E354" s="50" t="s">
        <v>72</v>
      </c>
      <c r="F354" s="51" t="s">
        <v>87</v>
      </c>
      <c r="G354" s="10"/>
      <c r="H354" s="9" t="s">
        <v>292</v>
      </c>
      <c r="I354" s="9" t="s">
        <v>74</v>
      </c>
      <c r="J354" s="9">
        <v>18</v>
      </c>
      <c r="K354" s="9" t="s">
        <v>96</v>
      </c>
      <c r="L354" s="9" t="s">
        <v>97</v>
      </c>
      <c r="M354" s="53" t="s">
        <v>716</v>
      </c>
      <c r="N354" s="9" t="s">
        <v>940</v>
      </c>
      <c r="O354" s="70"/>
      <c r="P354" s="13"/>
      <c r="Q354" s="10"/>
      <c r="R354" s="10"/>
      <c r="S354" s="10"/>
      <c r="T354" s="13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9" t="s">
        <v>100</v>
      </c>
      <c r="AL354" s="10"/>
      <c r="AM354" s="9" t="s">
        <v>944</v>
      </c>
      <c r="AN354" s="10" t="s">
        <v>282</v>
      </c>
      <c r="AO354" s="72">
        <v>46282</v>
      </c>
      <c r="AP354" s="72">
        <v>46282</v>
      </c>
      <c r="AQ354" s="10">
        <v>217</v>
      </c>
      <c r="AR354" s="10" t="s">
        <v>103</v>
      </c>
      <c r="AS354" s="2" t="s">
        <v>945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</row>
    <row r="355" spans="1:57" x14ac:dyDescent="0.25">
      <c r="A355" s="9">
        <v>349</v>
      </c>
      <c r="B355" s="48" t="s">
        <v>946</v>
      </c>
      <c r="C355" s="49" t="s">
        <v>947</v>
      </c>
      <c r="D355" s="6" t="s">
        <v>69</v>
      </c>
      <c r="E355" s="50" t="s">
        <v>72</v>
      </c>
      <c r="F355" s="51" t="s">
        <v>87</v>
      </c>
      <c r="G355" s="10"/>
      <c r="H355" s="9" t="s">
        <v>116</v>
      </c>
      <c r="I355" s="9">
        <v>9953391</v>
      </c>
      <c r="J355" s="9">
        <v>21</v>
      </c>
      <c r="K355" s="9" t="s">
        <v>89</v>
      </c>
      <c r="L355" s="9" t="s">
        <v>76</v>
      </c>
      <c r="M355" s="53" t="s">
        <v>77</v>
      </c>
      <c r="N355" s="9" t="s">
        <v>948</v>
      </c>
      <c r="O355" s="70"/>
      <c r="P355" s="13"/>
      <c r="Q355" s="10"/>
      <c r="R355" s="10"/>
      <c r="S355" s="10"/>
      <c r="T355" s="13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72"/>
      <c r="AP355" s="72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</row>
    <row r="356" spans="1:57" x14ac:dyDescent="0.25">
      <c r="A356" s="9">
        <v>350</v>
      </c>
      <c r="B356" s="48" t="s">
        <v>946</v>
      </c>
      <c r="C356" s="49" t="s">
        <v>949</v>
      </c>
      <c r="D356" s="6" t="s">
        <v>69</v>
      </c>
      <c r="E356" s="50" t="s">
        <v>72</v>
      </c>
      <c r="F356" s="51" t="s">
        <v>87</v>
      </c>
      <c r="G356" s="10"/>
      <c r="H356" s="9" t="s">
        <v>116</v>
      </c>
      <c r="I356" s="9" t="s">
        <v>74</v>
      </c>
      <c r="J356" s="9">
        <v>2</v>
      </c>
      <c r="K356" s="9" t="s">
        <v>89</v>
      </c>
      <c r="L356" s="9" t="s">
        <v>76</v>
      </c>
      <c r="M356" s="53" t="s">
        <v>77</v>
      </c>
      <c r="N356" s="9" t="s">
        <v>948</v>
      </c>
      <c r="O356" s="70"/>
      <c r="P356" s="13"/>
      <c r="Q356" s="10"/>
      <c r="R356" s="10"/>
      <c r="S356" s="10"/>
      <c r="T356" s="13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72"/>
      <c r="AP356" s="72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</row>
    <row r="357" spans="1:57" x14ac:dyDescent="0.25">
      <c r="A357" s="9">
        <v>351</v>
      </c>
      <c r="B357" s="48" t="s">
        <v>950</v>
      </c>
      <c r="C357" s="49" t="s">
        <v>951</v>
      </c>
      <c r="D357" s="6" t="s">
        <v>69</v>
      </c>
      <c r="E357" s="50" t="s">
        <v>72</v>
      </c>
      <c r="F357" s="51" t="s">
        <v>87</v>
      </c>
      <c r="G357" s="10"/>
      <c r="H357" s="9" t="s">
        <v>88</v>
      </c>
      <c r="I357" s="9">
        <v>9953391</v>
      </c>
      <c r="J357" s="9">
        <v>128</v>
      </c>
      <c r="K357" s="10" t="s">
        <v>89</v>
      </c>
      <c r="L357" s="13" t="s">
        <v>76</v>
      </c>
      <c r="M357" s="53" t="s">
        <v>952</v>
      </c>
      <c r="N357" s="9" t="s">
        <v>953</v>
      </c>
      <c r="O357" s="70"/>
      <c r="P357" s="13"/>
      <c r="Q357" s="10"/>
      <c r="R357" s="10"/>
      <c r="S357" s="10"/>
      <c r="T357" s="13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72"/>
      <c r="AP357" s="72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</row>
    <row r="358" spans="1:57" x14ac:dyDescent="0.25">
      <c r="A358" s="9">
        <v>352</v>
      </c>
      <c r="B358" s="48" t="s">
        <v>950</v>
      </c>
      <c r="C358" s="49" t="s">
        <v>954</v>
      </c>
      <c r="D358" s="6" t="s">
        <v>69</v>
      </c>
      <c r="E358" s="50" t="s">
        <v>72</v>
      </c>
      <c r="F358" s="51" t="s">
        <v>87</v>
      </c>
      <c r="G358" s="10"/>
      <c r="H358" s="9" t="s">
        <v>88</v>
      </c>
      <c r="I358" s="9" t="s">
        <v>151</v>
      </c>
      <c r="J358" s="9">
        <v>22</v>
      </c>
      <c r="K358" s="10" t="s">
        <v>89</v>
      </c>
      <c r="L358" s="13" t="s">
        <v>76</v>
      </c>
      <c r="M358" s="53" t="s">
        <v>519</v>
      </c>
      <c r="N358" s="9" t="s">
        <v>955</v>
      </c>
      <c r="O358" s="70"/>
      <c r="P358" s="13"/>
      <c r="Q358" s="10"/>
      <c r="R358" s="10"/>
      <c r="S358" s="10"/>
      <c r="T358" s="13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72"/>
      <c r="AP358" s="72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</row>
    <row r="359" spans="1:57" x14ac:dyDescent="0.25">
      <c r="A359" s="9">
        <v>353</v>
      </c>
      <c r="B359" s="48" t="s">
        <v>950</v>
      </c>
      <c r="C359" s="49" t="s">
        <v>956</v>
      </c>
      <c r="D359" s="6" t="s">
        <v>69</v>
      </c>
      <c r="E359" s="50" t="s">
        <v>72</v>
      </c>
      <c r="F359" s="51" t="s">
        <v>87</v>
      </c>
      <c r="G359" s="10"/>
      <c r="H359" s="9" t="s">
        <v>88</v>
      </c>
      <c r="I359" s="9" t="s">
        <v>151</v>
      </c>
      <c r="J359" s="9">
        <v>20</v>
      </c>
      <c r="K359" s="10" t="s">
        <v>89</v>
      </c>
      <c r="L359" s="13" t="s">
        <v>76</v>
      </c>
      <c r="M359" s="53" t="s">
        <v>952</v>
      </c>
      <c r="N359" s="9" t="s">
        <v>957</v>
      </c>
      <c r="O359" s="70"/>
      <c r="P359" s="13"/>
      <c r="Q359" s="10"/>
      <c r="R359" s="10"/>
      <c r="S359" s="10"/>
      <c r="T359" s="13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72"/>
      <c r="AP359" s="72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</row>
    <row r="360" spans="1:57" x14ac:dyDescent="0.25">
      <c r="A360" s="9">
        <v>354</v>
      </c>
      <c r="B360" s="48" t="s">
        <v>950</v>
      </c>
      <c r="C360" s="49" t="s">
        <v>958</v>
      </c>
      <c r="D360" s="6" t="s">
        <v>69</v>
      </c>
      <c r="E360" s="50" t="s">
        <v>72</v>
      </c>
      <c r="F360" s="51" t="s">
        <v>87</v>
      </c>
      <c r="G360" s="10"/>
      <c r="H360" s="9" t="s">
        <v>88</v>
      </c>
      <c r="I360" s="9" t="s">
        <v>151</v>
      </c>
      <c r="J360" s="9">
        <v>9</v>
      </c>
      <c r="K360" s="10" t="s">
        <v>89</v>
      </c>
      <c r="L360" s="13" t="s">
        <v>76</v>
      </c>
      <c r="M360" s="53" t="s">
        <v>952</v>
      </c>
      <c r="N360" s="9" t="s">
        <v>959</v>
      </c>
      <c r="O360" s="70"/>
      <c r="P360" s="13"/>
      <c r="Q360" s="10"/>
      <c r="R360" s="10"/>
      <c r="S360" s="10"/>
      <c r="T360" s="13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72"/>
      <c r="AP360" s="72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</row>
    <row r="361" spans="1:57" x14ac:dyDescent="0.25">
      <c r="A361" s="9">
        <v>355</v>
      </c>
      <c r="B361" s="48" t="s">
        <v>950</v>
      </c>
      <c r="C361" s="69" t="s">
        <v>960</v>
      </c>
      <c r="D361" s="6" t="s">
        <v>69</v>
      </c>
      <c r="E361" s="50" t="s">
        <v>72</v>
      </c>
      <c r="F361" s="51" t="s">
        <v>87</v>
      </c>
      <c r="G361" s="10"/>
      <c r="H361" s="9" t="s">
        <v>88</v>
      </c>
      <c r="I361" s="9" t="s">
        <v>151</v>
      </c>
      <c r="J361" s="9">
        <v>11</v>
      </c>
      <c r="K361" s="11" t="s">
        <v>89</v>
      </c>
      <c r="L361" s="12" t="s">
        <v>76</v>
      </c>
      <c r="M361" s="53" t="s">
        <v>436</v>
      </c>
      <c r="N361" s="9" t="s">
        <v>961</v>
      </c>
      <c r="O361" s="70"/>
      <c r="P361" s="13"/>
      <c r="Q361" s="10"/>
      <c r="R361" s="10"/>
      <c r="S361" s="10"/>
      <c r="T361" s="13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 t="s">
        <v>241</v>
      </c>
      <c r="AM361" s="10"/>
      <c r="AN361" s="10"/>
      <c r="AO361" s="72"/>
      <c r="AP361" s="72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</row>
    <row r="362" spans="1:57" x14ac:dyDescent="0.25">
      <c r="A362" s="9">
        <v>356</v>
      </c>
      <c r="B362" s="48" t="s">
        <v>950</v>
      </c>
      <c r="C362" s="49" t="s">
        <v>962</v>
      </c>
      <c r="D362" s="6" t="s">
        <v>69</v>
      </c>
      <c r="E362" s="50" t="s">
        <v>72</v>
      </c>
      <c r="F362" s="51" t="s">
        <v>87</v>
      </c>
      <c r="G362" s="10"/>
      <c r="H362" s="9" t="s">
        <v>88</v>
      </c>
      <c r="I362" s="9">
        <v>9953391</v>
      </c>
      <c r="J362" s="9">
        <v>68</v>
      </c>
      <c r="K362" s="9" t="s">
        <v>89</v>
      </c>
      <c r="L362" s="14" t="s">
        <v>76</v>
      </c>
      <c r="M362" s="53" t="s">
        <v>952</v>
      </c>
      <c r="N362" s="9" t="s">
        <v>963</v>
      </c>
      <c r="O362" s="70"/>
      <c r="P362" s="13"/>
      <c r="Q362" s="10"/>
      <c r="R362" s="10"/>
      <c r="S362" s="10"/>
      <c r="T362" s="13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72"/>
      <c r="AP362" s="72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</row>
    <row r="363" spans="1:57" x14ac:dyDescent="0.25">
      <c r="A363" s="9">
        <v>357</v>
      </c>
      <c r="B363" s="48" t="s">
        <v>950</v>
      </c>
      <c r="C363" s="49" t="s">
        <v>964</v>
      </c>
      <c r="D363" s="6" t="s">
        <v>69</v>
      </c>
      <c r="E363" s="50" t="s">
        <v>72</v>
      </c>
      <c r="F363" s="51" t="s">
        <v>87</v>
      </c>
      <c r="G363" s="10"/>
      <c r="H363" s="9" t="s">
        <v>116</v>
      </c>
      <c r="I363" s="9">
        <v>9953391</v>
      </c>
      <c r="J363" s="9">
        <v>13</v>
      </c>
      <c r="K363" s="10" t="s">
        <v>89</v>
      </c>
      <c r="L363" s="13" t="s">
        <v>76</v>
      </c>
      <c r="M363" s="53" t="s">
        <v>952</v>
      </c>
      <c r="N363" s="9" t="s">
        <v>965</v>
      </c>
      <c r="O363" s="70"/>
      <c r="P363" s="13"/>
      <c r="Q363" s="10"/>
      <c r="R363" s="10"/>
      <c r="S363" s="10"/>
      <c r="T363" s="13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72"/>
      <c r="AP363" s="72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</row>
    <row r="364" spans="1:57" x14ac:dyDescent="0.25">
      <c r="A364" s="9">
        <v>358</v>
      </c>
      <c r="B364" s="48" t="s">
        <v>950</v>
      </c>
      <c r="C364" s="49" t="s">
        <v>966</v>
      </c>
      <c r="D364" s="6" t="s">
        <v>69</v>
      </c>
      <c r="E364" s="50" t="s">
        <v>72</v>
      </c>
      <c r="F364" s="51" t="s">
        <v>87</v>
      </c>
      <c r="G364" s="10"/>
      <c r="H364" s="9" t="s">
        <v>88</v>
      </c>
      <c r="I364" s="9" t="s">
        <v>151</v>
      </c>
      <c r="J364" s="9">
        <v>13</v>
      </c>
      <c r="K364" s="9" t="s">
        <v>89</v>
      </c>
      <c r="L364" s="14" t="s">
        <v>76</v>
      </c>
      <c r="M364" s="53" t="s">
        <v>952</v>
      </c>
      <c r="N364" s="9" t="s">
        <v>967</v>
      </c>
      <c r="O364" s="70"/>
      <c r="P364" s="13"/>
      <c r="Q364" s="10"/>
      <c r="R364" s="10"/>
      <c r="S364" s="10"/>
      <c r="T364" s="13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72"/>
      <c r="AP364" s="72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</row>
    <row r="365" spans="1:57" x14ac:dyDescent="0.25">
      <c r="A365" s="9">
        <v>359</v>
      </c>
      <c r="B365" s="48" t="s">
        <v>950</v>
      </c>
      <c r="C365" s="49" t="s">
        <v>968</v>
      </c>
      <c r="D365" s="6" t="s">
        <v>69</v>
      </c>
      <c r="E365" s="50" t="s">
        <v>72</v>
      </c>
      <c r="F365" s="51" t="s">
        <v>87</v>
      </c>
      <c r="G365" s="10"/>
      <c r="H365" s="9" t="s">
        <v>88</v>
      </c>
      <c r="I365" s="9" t="s">
        <v>151</v>
      </c>
      <c r="J365" s="9">
        <v>13</v>
      </c>
      <c r="K365" s="10" t="s">
        <v>89</v>
      </c>
      <c r="L365" s="13" t="s">
        <v>76</v>
      </c>
      <c r="M365" s="53" t="s">
        <v>196</v>
      </c>
      <c r="N365" s="9" t="s">
        <v>969</v>
      </c>
      <c r="O365" s="70"/>
      <c r="P365" s="13"/>
      <c r="Q365" s="10"/>
      <c r="R365" s="10"/>
      <c r="S365" s="10"/>
      <c r="T365" s="13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72"/>
      <c r="AP365" s="72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</row>
    <row r="366" spans="1:57" x14ac:dyDescent="0.25">
      <c r="A366" s="9">
        <v>360</v>
      </c>
      <c r="B366" s="48" t="s">
        <v>950</v>
      </c>
      <c r="C366" s="49" t="s">
        <v>970</v>
      </c>
      <c r="D366" s="6" t="s">
        <v>69</v>
      </c>
      <c r="E366" s="50" t="s">
        <v>72</v>
      </c>
      <c r="F366" s="51" t="s">
        <v>87</v>
      </c>
      <c r="G366" s="10"/>
      <c r="H366" s="9" t="s">
        <v>88</v>
      </c>
      <c r="I366" s="9" t="s">
        <v>151</v>
      </c>
      <c r="J366" s="9">
        <v>12</v>
      </c>
      <c r="K366" s="10" t="s">
        <v>89</v>
      </c>
      <c r="L366" s="13" t="s">
        <v>76</v>
      </c>
      <c r="M366" s="53" t="s">
        <v>952</v>
      </c>
      <c r="N366" s="9" t="s">
        <v>971</v>
      </c>
      <c r="O366" s="70"/>
      <c r="P366" s="13"/>
      <c r="Q366" s="10"/>
      <c r="R366" s="10"/>
      <c r="S366" s="10"/>
      <c r="T366" s="13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72"/>
      <c r="AP366" s="72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</row>
    <row r="367" spans="1:57" x14ac:dyDescent="0.25">
      <c r="A367" s="9">
        <v>361</v>
      </c>
      <c r="B367" s="48" t="s">
        <v>950</v>
      </c>
      <c r="C367" s="49" t="s">
        <v>972</v>
      </c>
      <c r="D367" s="6" t="s">
        <v>69</v>
      </c>
      <c r="E367" s="50" t="s">
        <v>72</v>
      </c>
      <c r="F367" s="51" t="s">
        <v>87</v>
      </c>
      <c r="G367" s="10"/>
      <c r="H367" s="9" t="s">
        <v>88</v>
      </c>
      <c r="I367" s="9" t="s">
        <v>151</v>
      </c>
      <c r="J367" s="9">
        <v>22</v>
      </c>
      <c r="K367" s="10" t="s">
        <v>89</v>
      </c>
      <c r="L367" s="13" t="s">
        <v>76</v>
      </c>
      <c r="M367" s="53" t="s">
        <v>952</v>
      </c>
      <c r="N367" s="9" t="s">
        <v>973</v>
      </c>
      <c r="O367" s="70"/>
      <c r="P367" s="13"/>
      <c r="Q367" s="10"/>
      <c r="R367" s="10"/>
      <c r="S367" s="10"/>
      <c r="T367" s="13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72"/>
      <c r="AP367" s="72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</row>
    <row r="368" spans="1:57" x14ac:dyDescent="0.25">
      <c r="A368" s="9">
        <v>362</v>
      </c>
      <c r="B368" s="48" t="s">
        <v>950</v>
      </c>
      <c r="C368" s="49" t="s">
        <v>974</v>
      </c>
      <c r="D368" s="6" t="s">
        <v>69</v>
      </c>
      <c r="E368" s="50" t="s">
        <v>72</v>
      </c>
      <c r="F368" s="51" t="s">
        <v>87</v>
      </c>
      <c r="G368" s="10"/>
      <c r="H368" s="9" t="s">
        <v>88</v>
      </c>
      <c r="I368" s="9" t="s">
        <v>151</v>
      </c>
      <c r="J368" s="9">
        <v>74</v>
      </c>
      <c r="K368" s="10" t="s">
        <v>89</v>
      </c>
      <c r="L368" s="13" t="s">
        <v>76</v>
      </c>
      <c r="M368" s="53" t="s">
        <v>952</v>
      </c>
      <c r="N368" s="9" t="s">
        <v>975</v>
      </c>
      <c r="O368" s="70"/>
      <c r="P368" s="13"/>
      <c r="Q368" s="10"/>
      <c r="R368" s="10"/>
      <c r="S368" s="10"/>
      <c r="T368" s="13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72"/>
      <c r="AP368" s="72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</row>
    <row r="369" spans="1:57" x14ac:dyDescent="0.25">
      <c r="A369" s="9">
        <v>363</v>
      </c>
      <c r="B369" s="48" t="s">
        <v>950</v>
      </c>
      <c r="C369" s="49" t="s">
        <v>976</v>
      </c>
      <c r="D369" s="6" t="s">
        <v>69</v>
      </c>
      <c r="E369" s="50" t="s">
        <v>72</v>
      </c>
      <c r="F369" s="51" t="s">
        <v>87</v>
      </c>
      <c r="G369" s="10"/>
      <c r="H369" s="9" t="s">
        <v>88</v>
      </c>
      <c r="I369" s="9" t="s">
        <v>151</v>
      </c>
      <c r="J369" s="9">
        <v>8</v>
      </c>
      <c r="K369" s="9" t="s">
        <v>89</v>
      </c>
      <c r="L369" s="14" t="s">
        <v>76</v>
      </c>
      <c r="M369" s="53" t="s">
        <v>977</v>
      </c>
      <c r="N369" s="9" t="s">
        <v>978</v>
      </c>
      <c r="O369" s="70"/>
      <c r="P369" s="13"/>
      <c r="Q369" s="10"/>
      <c r="R369" s="10"/>
      <c r="S369" s="10"/>
      <c r="T369" s="13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72"/>
      <c r="AP369" s="72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</row>
    <row r="370" spans="1:57" x14ac:dyDescent="0.25">
      <c r="A370" s="9">
        <v>364</v>
      </c>
      <c r="B370" s="48" t="s">
        <v>950</v>
      </c>
      <c r="C370" s="69" t="s">
        <v>979</v>
      </c>
      <c r="D370" s="6" t="s">
        <v>69</v>
      </c>
      <c r="E370" s="50" t="s">
        <v>72</v>
      </c>
      <c r="F370" s="51" t="s">
        <v>87</v>
      </c>
      <c r="G370" s="10"/>
      <c r="H370" s="9" t="s">
        <v>88</v>
      </c>
      <c r="I370" s="9" t="s">
        <v>151</v>
      </c>
      <c r="J370" s="9">
        <v>1</v>
      </c>
      <c r="K370" s="11" t="s">
        <v>89</v>
      </c>
      <c r="L370" s="12" t="s">
        <v>76</v>
      </c>
      <c r="M370" s="53" t="s">
        <v>952</v>
      </c>
      <c r="N370" s="9" t="s">
        <v>980</v>
      </c>
      <c r="O370" s="70"/>
      <c r="P370" s="13"/>
      <c r="Q370" s="10"/>
      <c r="R370" s="10"/>
      <c r="S370" s="10"/>
      <c r="T370" s="13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 t="s">
        <v>241</v>
      </c>
      <c r="AM370" s="10"/>
      <c r="AN370" s="10"/>
      <c r="AO370" s="72"/>
      <c r="AP370" s="72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</row>
    <row r="371" spans="1:57" x14ac:dyDescent="0.25">
      <c r="A371" s="9">
        <v>365</v>
      </c>
      <c r="B371" s="48" t="s">
        <v>950</v>
      </c>
      <c r="C371" s="49" t="s">
        <v>981</v>
      </c>
      <c r="D371" s="6" t="s">
        <v>69</v>
      </c>
      <c r="E371" s="50" t="s">
        <v>72</v>
      </c>
      <c r="F371" s="51" t="s">
        <v>87</v>
      </c>
      <c r="G371" s="10"/>
      <c r="H371" s="9" t="s">
        <v>88</v>
      </c>
      <c r="I371" s="9" t="s">
        <v>151</v>
      </c>
      <c r="J371" s="9">
        <v>9</v>
      </c>
      <c r="K371" s="10" t="s">
        <v>89</v>
      </c>
      <c r="L371" s="13" t="s">
        <v>76</v>
      </c>
      <c r="M371" s="53" t="s">
        <v>952</v>
      </c>
      <c r="N371" s="9" t="s">
        <v>982</v>
      </c>
      <c r="O371" s="70"/>
      <c r="P371" s="13"/>
      <c r="Q371" s="10"/>
      <c r="R371" s="10"/>
      <c r="S371" s="10"/>
      <c r="T371" s="13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72"/>
      <c r="AP371" s="72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</row>
    <row r="372" spans="1:57" x14ac:dyDescent="0.25">
      <c r="A372" s="9">
        <v>366</v>
      </c>
      <c r="B372" s="48" t="s">
        <v>950</v>
      </c>
      <c r="C372" s="49" t="s">
        <v>983</v>
      </c>
      <c r="D372" s="6" t="s">
        <v>69</v>
      </c>
      <c r="E372" s="50" t="s">
        <v>72</v>
      </c>
      <c r="F372" s="51" t="s">
        <v>87</v>
      </c>
      <c r="G372" s="10"/>
      <c r="H372" s="9" t="s">
        <v>88</v>
      </c>
      <c r="I372" s="9">
        <v>9953391</v>
      </c>
      <c r="J372" s="9">
        <v>18</v>
      </c>
      <c r="K372" s="10" t="s">
        <v>89</v>
      </c>
      <c r="L372" s="13" t="s">
        <v>76</v>
      </c>
      <c r="M372" s="53" t="s">
        <v>952</v>
      </c>
      <c r="N372" s="9" t="s">
        <v>984</v>
      </c>
      <c r="O372" s="70"/>
      <c r="P372" s="13"/>
      <c r="Q372" s="10"/>
      <c r="R372" s="10"/>
      <c r="S372" s="10"/>
      <c r="T372" s="13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72"/>
      <c r="AP372" s="72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</row>
    <row r="373" spans="1:57" x14ac:dyDescent="0.25">
      <c r="A373" s="9">
        <v>367</v>
      </c>
      <c r="B373" s="48" t="s">
        <v>950</v>
      </c>
      <c r="C373" s="49" t="s">
        <v>985</v>
      </c>
      <c r="D373" s="6" t="s">
        <v>69</v>
      </c>
      <c r="E373" s="50" t="s">
        <v>72</v>
      </c>
      <c r="F373" s="51" t="s">
        <v>87</v>
      </c>
      <c r="G373" s="10"/>
      <c r="H373" s="9" t="s">
        <v>444</v>
      </c>
      <c r="I373" s="9" t="s">
        <v>74</v>
      </c>
      <c r="J373" s="9">
        <v>21</v>
      </c>
      <c r="K373" s="10" t="s">
        <v>89</v>
      </c>
      <c r="L373" s="13" t="s">
        <v>76</v>
      </c>
      <c r="M373" s="53" t="s">
        <v>952</v>
      </c>
      <c r="N373" s="9" t="s">
        <v>986</v>
      </c>
      <c r="O373" s="70"/>
      <c r="P373" s="13"/>
      <c r="Q373" s="10"/>
      <c r="R373" s="10"/>
      <c r="S373" s="10"/>
      <c r="T373" s="13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72"/>
      <c r="AP373" s="72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</row>
    <row r="374" spans="1:57" x14ac:dyDescent="0.25">
      <c r="A374" s="9">
        <v>368</v>
      </c>
      <c r="B374" s="48" t="s">
        <v>950</v>
      </c>
      <c r="C374" s="49" t="s">
        <v>987</v>
      </c>
      <c r="D374" s="6" t="s">
        <v>69</v>
      </c>
      <c r="E374" s="50" t="s">
        <v>72</v>
      </c>
      <c r="F374" s="51" t="s">
        <v>87</v>
      </c>
      <c r="G374" s="10"/>
      <c r="H374" s="9" t="s">
        <v>88</v>
      </c>
      <c r="I374" s="9">
        <v>9953391</v>
      </c>
      <c r="J374" s="9">
        <v>68</v>
      </c>
      <c r="K374" s="10" t="s">
        <v>89</v>
      </c>
      <c r="L374" s="13" t="s">
        <v>76</v>
      </c>
      <c r="M374" s="53" t="s">
        <v>952</v>
      </c>
      <c r="N374" s="9" t="s">
        <v>988</v>
      </c>
      <c r="O374" s="70"/>
      <c r="P374" s="13"/>
      <c r="Q374" s="10"/>
      <c r="R374" s="10"/>
      <c r="S374" s="10"/>
      <c r="T374" s="13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72"/>
      <c r="AP374" s="72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</row>
    <row r="375" spans="1:57" x14ac:dyDescent="0.25">
      <c r="A375" s="9">
        <v>369</v>
      </c>
      <c r="B375" s="48" t="s">
        <v>950</v>
      </c>
      <c r="C375" s="49" t="s">
        <v>989</v>
      </c>
      <c r="D375" s="6" t="s">
        <v>69</v>
      </c>
      <c r="E375" s="50" t="s">
        <v>72</v>
      </c>
      <c r="F375" s="51" t="s">
        <v>87</v>
      </c>
      <c r="G375" s="10"/>
      <c r="H375" s="9" t="s">
        <v>88</v>
      </c>
      <c r="I375" s="9" t="s">
        <v>151</v>
      </c>
      <c r="J375" s="9">
        <v>85</v>
      </c>
      <c r="K375" s="10" t="s">
        <v>89</v>
      </c>
      <c r="L375" s="13" t="s">
        <v>76</v>
      </c>
      <c r="M375" s="53" t="s">
        <v>952</v>
      </c>
      <c r="N375" s="9" t="s">
        <v>990</v>
      </c>
      <c r="O375" s="70"/>
      <c r="P375" s="13"/>
      <c r="Q375" s="10"/>
      <c r="R375" s="10"/>
      <c r="S375" s="10"/>
      <c r="T375" s="13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72"/>
      <c r="AP375" s="72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</row>
    <row r="376" spans="1:57" x14ac:dyDescent="0.25">
      <c r="A376" s="9">
        <v>370</v>
      </c>
      <c r="B376" s="48" t="s">
        <v>950</v>
      </c>
      <c r="C376" s="69" t="s">
        <v>991</v>
      </c>
      <c r="D376" s="6" t="s">
        <v>69</v>
      </c>
      <c r="E376" s="50" t="s">
        <v>72</v>
      </c>
      <c r="F376" s="51" t="s">
        <v>87</v>
      </c>
      <c r="G376" s="10"/>
      <c r="H376" s="9" t="s">
        <v>88</v>
      </c>
      <c r="I376" s="9" t="s">
        <v>151</v>
      </c>
      <c r="J376" s="9">
        <v>136</v>
      </c>
      <c r="K376" s="11" t="s">
        <v>89</v>
      </c>
      <c r="L376" s="12" t="s">
        <v>76</v>
      </c>
      <c r="M376" s="53" t="s">
        <v>952</v>
      </c>
      <c r="N376" s="9" t="s">
        <v>992</v>
      </c>
      <c r="O376" s="70"/>
      <c r="P376" s="13"/>
      <c r="Q376" s="10"/>
      <c r="R376" s="10"/>
      <c r="S376" s="10"/>
      <c r="T376" s="13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 t="s">
        <v>241</v>
      </c>
      <c r="AM376" s="10"/>
      <c r="AN376" s="10"/>
      <c r="AO376" s="72"/>
      <c r="AP376" s="72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</row>
    <row r="377" spans="1:57" x14ac:dyDescent="0.25">
      <c r="A377" s="9">
        <v>371</v>
      </c>
      <c r="B377" s="48" t="s">
        <v>950</v>
      </c>
      <c r="C377" s="49" t="s">
        <v>993</v>
      </c>
      <c r="D377" s="6" t="s">
        <v>69</v>
      </c>
      <c r="E377" s="50" t="s">
        <v>72</v>
      </c>
      <c r="F377" s="51" t="s">
        <v>87</v>
      </c>
      <c r="G377" s="10"/>
      <c r="H377" s="9" t="s">
        <v>88</v>
      </c>
      <c r="I377" s="9">
        <v>9953391</v>
      </c>
      <c r="J377" s="9">
        <v>88</v>
      </c>
      <c r="K377" s="10" t="s">
        <v>96</v>
      </c>
      <c r="L377" s="13" t="s">
        <v>97</v>
      </c>
      <c r="M377" s="53" t="s">
        <v>273</v>
      </c>
      <c r="N377" s="9" t="s">
        <v>274</v>
      </c>
      <c r="O377" s="70"/>
      <c r="P377" s="13"/>
      <c r="Q377" s="10"/>
      <c r="R377" s="10"/>
      <c r="S377" s="10"/>
      <c r="T377" s="13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 t="s">
        <v>100</v>
      </c>
      <c r="AL377" s="10" t="s">
        <v>276</v>
      </c>
      <c r="AM377" s="9" t="s">
        <v>994</v>
      </c>
      <c r="AN377" s="10"/>
      <c r="AO377" s="72"/>
      <c r="AP377" s="72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</row>
    <row r="378" spans="1:57" x14ac:dyDescent="0.25">
      <c r="A378" s="9">
        <v>372</v>
      </c>
      <c r="B378" s="48" t="s">
        <v>950</v>
      </c>
      <c r="C378" s="49" t="s">
        <v>995</v>
      </c>
      <c r="D378" s="6" t="s">
        <v>69</v>
      </c>
      <c r="E378" s="50" t="s">
        <v>72</v>
      </c>
      <c r="F378" s="51" t="s">
        <v>87</v>
      </c>
      <c r="G378" s="10"/>
      <c r="H378" s="9" t="s">
        <v>427</v>
      </c>
      <c r="I378" s="9">
        <v>9953391</v>
      </c>
      <c r="J378" s="9">
        <v>40</v>
      </c>
      <c r="K378" s="10" t="s">
        <v>96</v>
      </c>
      <c r="L378" s="13" t="s">
        <v>97</v>
      </c>
      <c r="M378" s="53" t="s">
        <v>293</v>
      </c>
      <c r="N378" s="9" t="s">
        <v>996</v>
      </c>
      <c r="O378" s="70"/>
      <c r="P378" s="13"/>
      <c r="Q378" s="10"/>
      <c r="R378" s="10"/>
      <c r="S378" s="10"/>
      <c r="T378" s="13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 t="s">
        <v>100</v>
      </c>
      <c r="AL378" s="10"/>
      <c r="AM378" s="9" t="s">
        <v>997</v>
      </c>
      <c r="AN378" s="10" t="s">
        <v>296</v>
      </c>
      <c r="AO378" s="72"/>
      <c r="AP378" s="72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</row>
    <row r="379" spans="1:57" x14ac:dyDescent="0.25">
      <c r="A379" s="9">
        <v>373</v>
      </c>
      <c r="B379" s="48" t="s">
        <v>950</v>
      </c>
      <c r="C379" s="49" t="s">
        <v>998</v>
      </c>
      <c r="D379" s="6" t="s">
        <v>69</v>
      </c>
      <c r="E379" s="50" t="s">
        <v>72</v>
      </c>
      <c r="F379" s="51" t="s">
        <v>87</v>
      </c>
      <c r="G379" s="10"/>
      <c r="H379" s="9" t="s">
        <v>116</v>
      </c>
      <c r="I379" s="9" t="s">
        <v>117</v>
      </c>
      <c r="J379" s="9">
        <v>152</v>
      </c>
      <c r="K379" s="10" t="s">
        <v>89</v>
      </c>
      <c r="L379" s="13" t="s">
        <v>76</v>
      </c>
      <c r="M379" s="53" t="s">
        <v>952</v>
      </c>
      <c r="N379" s="9" t="s">
        <v>999</v>
      </c>
      <c r="O379" s="70"/>
      <c r="P379" s="13"/>
      <c r="Q379" s="10"/>
      <c r="R379" s="10"/>
      <c r="S379" s="10"/>
      <c r="T379" s="13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72"/>
      <c r="AP379" s="72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</row>
    <row r="380" spans="1:57" x14ac:dyDescent="0.25">
      <c r="A380" s="9">
        <v>374</v>
      </c>
      <c r="B380" s="48" t="s">
        <v>950</v>
      </c>
      <c r="C380" s="49" t="s">
        <v>1000</v>
      </c>
      <c r="D380" s="6" t="s">
        <v>69</v>
      </c>
      <c r="E380" s="50" t="s">
        <v>72</v>
      </c>
      <c r="F380" s="51" t="s">
        <v>87</v>
      </c>
      <c r="G380" s="10"/>
      <c r="H380" s="9" t="s">
        <v>1001</v>
      </c>
      <c r="I380" s="9" t="s">
        <v>74</v>
      </c>
      <c r="J380" s="9">
        <v>100</v>
      </c>
      <c r="K380" s="10" t="s">
        <v>96</v>
      </c>
      <c r="L380" s="13" t="s">
        <v>97</v>
      </c>
      <c r="M380" s="53" t="s">
        <v>293</v>
      </c>
      <c r="N380" s="9" t="s">
        <v>1002</v>
      </c>
      <c r="O380" s="70"/>
      <c r="P380" s="13"/>
      <c r="Q380" s="10"/>
      <c r="R380" s="10"/>
      <c r="S380" s="10"/>
      <c r="T380" s="13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 t="s">
        <v>100</v>
      </c>
      <c r="AL380" s="10"/>
      <c r="AM380" s="9" t="s">
        <v>1003</v>
      </c>
      <c r="AN380" s="10" t="s">
        <v>296</v>
      </c>
      <c r="AO380" s="72"/>
      <c r="AP380" s="72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</row>
    <row r="381" spans="1:57" s="47" customFormat="1" x14ac:dyDescent="0.25">
      <c r="A381" s="41">
        <v>375</v>
      </c>
      <c r="B381" s="42" t="s">
        <v>950</v>
      </c>
      <c r="C381" s="43" t="s">
        <v>1004</v>
      </c>
      <c r="D381" s="44" t="s">
        <v>69</v>
      </c>
      <c r="E381" s="45" t="s">
        <v>70</v>
      </c>
      <c r="F381" s="44" t="s">
        <v>70</v>
      </c>
      <c r="G381" s="44" t="s">
        <v>70</v>
      </c>
      <c r="H381" s="44" t="s">
        <v>70</v>
      </c>
      <c r="I381" s="44" t="s">
        <v>70</v>
      </c>
      <c r="J381" s="44" t="s">
        <v>70</v>
      </c>
      <c r="K381" s="44" t="s">
        <v>70</v>
      </c>
      <c r="L381" s="44" t="s">
        <v>70</v>
      </c>
      <c r="M381" s="45" t="s">
        <v>70</v>
      </c>
      <c r="N381" s="44" t="s">
        <v>70</v>
      </c>
      <c r="O381" s="67"/>
      <c r="P381" s="46"/>
      <c r="Q381" s="41"/>
      <c r="R381" s="41"/>
      <c r="S381" s="41"/>
      <c r="T381" s="46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72"/>
      <c r="AP381" s="72"/>
      <c r="AQ381" s="41"/>
      <c r="AR381" s="41"/>
      <c r="AS381" s="41"/>
      <c r="AT381" s="41"/>
      <c r="AU381" s="41"/>
      <c r="AV381" s="41"/>
      <c r="AW381" s="41"/>
      <c r="AX381" s="41"/>
      <c r="AY381" s="10"/>
      <c r="AZ381" s="41"/>
      <c r="BA381" s="41"/>
      <c r="BB381" s="41"/>
      <c r="BC381" s="41"/>
      <c r="BD381" s="41"/>
      <c r="BE381" s="41"/>
    </row>
    <row r="382" spans="1:57" s="47" customFormat="1" x14ac:dyDescent="0.25">
      <c r="A382" s="41">
        <v>376</v>
      </c>
      <c r="B382" s="42" t="s">
        <v>950</v>
      </c>
      <c r="C382" s="43" t="s">
        <v>1005</v>
      </c>
      <c r="D382" s="44" t="s">
        <v>69</v>
      </c>
      <c r="E382" s="45" t="s">
        <v>70</v>
      </c>
      <c r="F382" s="44" t="s">
        <v>70</v>
      </c>
      <c r="G382" s="44" t="s">
        <v>70</v>
      </c>
      <c r="H382" s="44" t="s">
        <v>70</v>
      </c>
      <c r="I382" s="44" t="s">
        <v>70</v>
      </c>
      <c r="J382" s="44" t="s">
        <v>70</v>
      </c>
      <c r="K382" s="44" t="s">
        <v>70</v>
      </c>
      <c r="L382" s="44" t="s">
        <v>70</v>
      </c>
      <c r="M382" s="45" t="s">
        <v>70</v>
      </c>
      <c r="N382" s="44" t="s">
        <v>70</v>
      </c>
      <c r="O382" s="67"/>
      <c r="P382" s="46"/>
      <c r="Q382" s="41"/>
      <c r="R382" s="41"/>
      <c r="S382" s="41"/>
      <c r="T382" s="46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72"/>
      <c r="AP382" s="72"/>
      <c r="AQ382" s="41"/>
      <c r="AR382" s="41"/>
      <c r="AS382" s="41"/>
      <c r="AT382" s="41"/>
      <c r="AU382" s="41"/>
      <c r="AV382" s="41"/>
      <c r="AW382" s="41"/>
      <c r="AX382" s="41"/>
      <c r="AY382" s="10"/>
      <c r="AZ382" s="41"/>
      <c r="BA382" s="41"/>
      <c r="BB382" s="41"/>
      <c r="BC382" s="41"/>
      <c r="BD382" s="41"/>
      <c r="BE382" s="41"/>
    </row>
    <row r="383" spans="1:57" s="47" customFormat="1" x14ac:dyDescent="0.25">
      <c r="A383" s="41">
        <v>377</v>
      </c>
      <c r="B383" s="42" t="s">
        <v>950</v>
      </c>
      <c r="C383" s="43" t="s">
        <v>1006</v>
      </c>
      <c r="D383" s="44" t="s">
        <v>69</v>
      </c>
      <c r="E383" s="45" t="s">
        <v>70</v>
      </c>
      <c r="F383" s="44" t="s">
        <v>70</v>
      </c>
      <c r="G383" s="44" t="s">
        <v>70</v>
      </c>
      <c r="H383" s="44" t="s">
        <v>70</v>
      </c>
      <c r="I383" s="44" t="s">
        <v>70</v>
      </c>
      <c r="J383" s="44" t="s">
        <v>70</v>
      </c>
      <c r="K383" s="44" t="s">
        <v>70</v>
      </c>
      <c r="L383" s="44" t="s">
        <v>70</v>
      </c>
      <c r="M383" s="45" t="s">
        <v>70</v>
      </c>
      <c r="N383" s="44" t="s">
        <v>70</v>
      </c>
      <c r="O383" s="67"/>
      <c r="P383" s="46"/>
      <c r="Q383" s="41"/>
      <c r="R383" s="41"/>
      <c r="S383" s="41"/>
      <c r="T383" s="46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72"/>
      <c r="AP383" s="72"/>
      <c r="AQ383" s="41"/>
      <c r="AR383" s="41"/>
      <c r="AS383" s="41"/>
      <c r="AT383" s="41"/>
      <c r="AU383" s="41"/>
      <c r="AV383" s="41"/>
      <c r="AW383" s="41"/>
      <c r="AX383" s="41"/>
      <c r="AY383" s="10"/>
      <c r="AZ383" s="41"/>
      <c r="BA383" s="41"/>
      <c r="BB383" s="41"/>
      <c r="BC383" s="41"/>
      <c r="BD383" s="41"/>
      <c r="BE383" s="41"/>
    </row>
    <row r="384" spans="1:57" x14ac:dyDescent="0.25">
      <c r="A384" s="9">
        <v>378</v>
      </c>
      <c r="B384" s="48" t="s">
        <v>950</v>
      </c>
      <c r="C384" s="49" t="s">
        <v>1007</v>
      </c>
      <c r="D384" s="6" t="s">
        <v>69</v>
      </c>
      <c r="E384" s="50" t="s">
        <v>72</v>
      </c>
      <c r="F384" s="51" t="s">
        <v>87</v>
      </c>
      <c r="G384" s="10"/>
      <c r="H384" s="9" t="s">
        <v>1008</v>
      </c>
      <c r="I384" s="9" t="s">
        <v>74</v>
      </c>
      <c r="J384" s="9">
        <v>43</v>
      </c>
      <c r="K384" s="10" t="s">
        <v>96</v>
      </c>
      <c r="L384" s="13" t="s">
        <v>97</v>
      </c>
      <c r="M384" s="53" t="s">
        <v>436</v>
      </c>
      <c r="N384" s="9" t="s">
        <v>1009</v>
      </c>
      <c r="O384" s="70"/>
      <c r="P384" s="13"/>
      <c r="Q384" s="10"/>
      <c r="R384" s="10"/>
      <c r="S384" s="10"/>
      <c r="T384" s="13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 t="s">
        <v>100</v>
      </c>
      <c r="AL384" s="10"/>
      <c r="AM384" s="9" t="s">
        <v>1010</v>
      </c>
      <c r="AN384" s="10" t="s">
        <v>102</v>
      </c>
      <c r="AO384" s="72">
        <v>46282</v>
      </c>
      <c r="AP384" s="72">
        <v>46282</v>
      </c>
      <c r="AQ384" s="10">
        <v>47</v>
      </c>
      <c r="AR384" s="10" t="s">
        <v>103</v>
      </c>
      <c r="AS384" s="2" t="s">
        <v>1011</v>
      </c>
      <c r="AT384" s="10"/>
      <c r="AU384" s="10"/>
      <c r="AV384" s="10"/>
      <c r="AW384" s="10"/>
      <c r="AX384" s="10"/>
      <c r="AY384" s="10" t="s">
        <v>318</v>
      </c>
      <c r="AZ384" s="10"/>
      <c r="BA384" s="10"/>
      <c r="BB384" s="10"/>
      <c r="BC384" s="10"/>
      <c r="BD384" s="10"/>
      <c r="BE384" s="10"/>
    </row>
    <row r="385" spans="1:57" x14ac:dyDescent="0.25">
      <c r="A385" s="9">
        <v>379</v>
      </c>
      <c r="B385" s="48" t="s">
        <v>950</v>
      </c>
      <c r="C385" s="49" t="s">
        <v>1012</v>
      </c>
      <c r="D385" s="6" t="s">
        <v>69</v>
      </c>
      <c r="E385" s="50" t="s">
        <v>72</v>
      </c>
      <c r="F385" s="51" t="s">
        <v>87</v>
      </c>
      <c r="G385" s="10"/>
      <c r="H385" s="9">
        <v>4193</v>
      </c>
      <c r="I385" s="9" t="s">
        <v>74</v>
      </c>
      <c r="J385" s="9">
        <v>33</v>
      </c>
      <c r="K385" s="10" t="s">
        <v>96</v>
      </c>
      <c r="L385" s="13" t="s">
        <v>97</v>
      </c>
      <c r="M385" s="53" t="s">
        <v>1013</v>
      </c>
      <c r="N385" s="9" t="s">
        <v>1014</v>
      </c>
      <c r="O385" s="70"/>
      <c r="P385" s="13"/>
      <c r="Q385" s="10"/>
      <c r="R385" s="10"/>
      <c r="S385" s="10"/>
      <c r="T385" s="13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 t="s">
        <v>100</v>
      </c>
      <c r="AL385" s="10"/>
      <c r="AM385" s="9" t="s">
        <v>1015</v>
      </c>
      <c r="AN385" s="10" t="s">
        <v>102</v>
      </c>
      <c r="AO385" s="72">
        <v>46282</v>
      </c>
      <c r="AP385" s="72">
        <v>46282</v>
      </c>
      <c r="AQ385" s="10">
        <v>38</v>
      </c>
      <c r="AR385" s="10" t="s">
        <v>103</v>
      </c>
      <c r="AS385" s="2" t="s">
        <v>1016</v>
      </c>
      <c r="AT385" s="10"/>
      <c r="AU385" s="10"/>
      <c r="AV385" s="10"/>
      <c r="AW385" s="10"/>
      <c r="AX385" s="10"/>
      <c r="AY385" s="10" t="s">
        <v>318</v>
      </c>
      <c r="AZ385" s="10"/>
      <c r="BA385" s="10"/>
      <c r="BB385" s="10"/>
      <c r="BC385" s="10"/>
      <c r="BD385" s="10"/>
      <c r="BE385" s="10"/>
    </row>
    <row r="386" spans="1:57" x14ac:dyDescent="0.25">
      <c r="A386" s="9">
        <v>380</v>
      </c>
      <c r="B386" s="48" t="s">
        <v>950</v>
      </c>
      <c r="C386" s="49" t="s">
        <v>1017</v>
      </c>
      <c r="D386" s="6" t="s">
        <v>69</v>
      </c>
      <c r="E386" s="50" t="s">
        <v>72</v>
      </c>
      <c r="F386" s="51" t="s">
        <v>87</v>
      </c>
      <c r="G386" s="10"/>
      <c r="H386" s="9" t="s">
        <v>88</v>
      </c>
      <c r="I386" s="9">
        <v>9953391</v>
      </c>
      <c r="J386" s="9">
        <v>66</v>
      </c>
      <c r="K386" s="10" t="s">
        <v>89</v>
      </c>
      <c r="L386" s="13" t="s">
        <v>76</v>
      </c>
      <c r="M386" s="53" t="s">
        <v>126</v>
      </c>
      <c r="N386" s="9" t="s">
        <v>1018</v>
      </c>
      <c r="O386" s="70"/>
      <c r="P386" s="13"/>
      <c r="Q386" s="10"/>
      <c r="R386" s="10"/>
      <c r="S386" s="10"/>
      <c r="T386" s="13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72"/>
      <c r="AP386" s="72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</row>
    <row r="387" spans="1:57" x14ac:dyDescent="0.25">
      <c r="A387" s="9">
        <v>381</v>
      </c>
      <c r="B387" s="48" t="s">
        <v>950</v>
      </c>
      <c r="C387" s="49" t="s">
        <v>1019</v>
      </c>
      <c r="D387" s="6" t="s">
        <v>69</v>
      </c>
      <c r="E387" s="50" t="s">
        <v>72</v>
      </c>
      <c r="F387" s="51" t="s">
        <v>87</v>
      </c>
      <c r="G387" s="10"/>
      <c r="H387" s="9" t="s">
        <v>116</v>
      </c>
      <c r="I387" s="9" t="s">
        <v>74</v>
      </c>
      <c r="J387" s="9">
        <v>25</v>
      </c>
      <c r="K387" s="10" t="s">
        <v>96</v>
      </c>
      <c r="L387" s="13" t="s">
        <v>97</v>
      </c>
      <c r="M387" s="53" t="s">
        <v>231</v>
      </c>
      <c r="N387" s="9" t="s">
        <v>1020</v>
      </c>
      <c r="O387" s="70"/>
      <c r="P387" s="13"/>
      <c r="Q387" s="10"/>
      <c r="R387" s="10"/>
      <c r="S387" s="10"/>
      <c r="T387" s="13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 t="s">
        <v>100</v>
      </c>
      <c r="AL387" s="10"/>
      <c r="AM387" s="9" t="s">
        <v>1021</v>
      </c>
      <c r="AN387" s="10" t="s">
        <v>102</v>
      </c>
      <c r="AO387" s="72">
        <v>46282</v>
      </c>
      <c r="AP387" s="72">
        <v>46282</v>
      </c>
      <c r="AQ387" s="10">
        <v>44</v>
      </c>
      <c r="AR387" s="10" t="s">
        <v>103</v>
      </c>
      <c r="AS387" s="2" t="s">
        <v>1022</v>
      </c>
      <c r="AT387" s="10"/>
      <c r="AU387" s="10"/>
      <c r="AV387" s="10"/>
      <c r="AW387" s="10"/>
      <c r="AX387" s="10"/>
      <c r="AY387" s="10" t="s">
        <v>318</v>
      </c>
      <c r="AZ387" s="10"/>
      <c r="BA387" s="10"/>
      <c r="BB387" s="10"/>
      <c r="BC387" s="10"/>
      <c r="BD387" s="10"/>
      <c r="BE387" s="10"/>
    </row>
    <row r="388" spans="1:57" x14ac:dyDescent="0.25">
      <c r="A388" s="9">
        <v>382</v>
      </c>
      <c r="B388" s="48" t="s">
        <v>950</v>
      </c>
      <c r="C388" s="49" t="s">
        <v>1023</v>
      </c>
      <c r="D388" s="6" t="s">
        <v>69</v>
      </c>
      <c r="E388" s="50" t="s">
        <v>72</v>
      </c>
      <c r="F388" s="51" t="s">
        <v>87</v>
      </c>
      <c r="G388" s="10"/>
      <c r="H388" t="s">
        <v>292</v>
      </c>
      <c r="I388" s="9" t="s">
        <v>74</v>
      </c>
      <c r="J388" s="9">
        <v>118</v>
      </c>
      <c r="K388" s="10" t="s">
        <v>96</v>
      </c>
      <c r="L388" s="13" t="s">
        <v>97</v>
      </c>
      <c r="M388" s="53" t="s">
        <v>673</v>
      </c>
      <c r="N388" s="9" t="s">
        <v>1024</v>
      </c>
      <c r="O388" s="70"/>
      <c r="P388" s="13"/>
      <c r="Q388" s="10"/>
      <c r="R388" s="10"/>
      <c r="S388" s="10"/>
      <c r="T388" s="13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 t="s">
        <v>100</v>
      </c>
      <c r="AL388" s="10"/>
      <c r="AM388" s="9">
        <v>89</v>
      </c>
      <c r="AN388" s="10" t="s">
        <v>102</v>
      </c>
      <c r="AO388" s="72">
        <v>46282</v>
      </c>
      <c r="AP388" s="72">
        <v>46282</v>
      </c>
      <c r="AQ388" s="10">
        <v>1</v>
      </c>
      <c r="AR388" s="10" t="s">
        <v>103</v>
      </c>
      <c r="AS388" s="2" t="s">
        <v>1025</v>
      </c>
      <c r="AT388" s="10"/>
      <c r="AU388" s="10"/>
      <c r="AV388" s="10"/>
      <c r="AW388" s="10"/>
      <c r="AX388" s="10"/>
      <c r="AY388" s="10" t="s">
        <v>318</v>
      </c>
      <c r="AZ388" s="10"/>
      <c r="BA388" s="10"/>
      <c r="BB388" s="10"/>
      <c r="BC388" s="10"/>
      <c r="BD388" s="10"/>
      <c r="BE388" s="10"/>
    </row>
    <row r="389" spans="1:57" s="47" customFormat="1" x14ac:dyDescent="0.25">
      <c r="A389" s="41">
        <v>383</v>
      </c>
      <c r="B389" s="42" t="s">
        <v>950</v>
      </c>
      <c r="C389" s="43" t="s">
        <v>1026</v>
      </c>
      <c r="D389" s="44" t="s">
        <v>69</v>
      </c>
      <c r="E389" s="45" t="s">
        <v>70</v>
      </c>
      <c r="F389" s="44" t="s">
        <v>70</v>
      </c>
      <c r="G389" s="44" t="s">
        <v>70</v>
      </c>
      <c r="H389" s="44" t="s">
        <v>70</v>
      </c>
      <c r="I389" s="44" t="s">
        <v>70</v>
      </c>
      <c r="J389" s="44" t="s">
        <v>70</v>
      </c>
      <c r="K389" s="44" t="s">
        <v>70</v>
      </c>
      <c r="L389" s="44" t="s">
        <v>70</v>
      </c>
      <c r="M389" s="45" t="s">
        <v>70</v>
      </c>
      <c r="N389" s="44" t="s">
        <v>70</v>
      </c>
      <c r="O389" s="67"/>
      <c r="P389" s="46"/>
      <c r="Q389" s="41"/>
      <c r="R389" s="41"/>
      <c r="S389" s="41"/>
      <c r="T389" s="46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72"/>
      <c r="AP389" s="72"/>
      <c r="AQ389" s="41"/>
      <c r="AR389" s="41"/>
      <c r="AS389" s="41"/>
      <c r="AT389" s="41"/>
      <c r="AU389" s="41"/>
      <c r="AV389" s="41"/>
      <c r="AW389" s="41"/>
      <c r="AX389" s="41"/>
      <c r="AY389" s="10"/>
      <c r="AZ389" s="41"/>
      <c r="BA389" s="41"/>
      <c r="BB389" s="41"/>
      <c r="BC389" s="41"/>
      <c r="BD389" s="41"/>
      <c r="BE389" s="41"/>
    </row>
    <row r="390" spans="1:57" x14ac:dyDescent="0.25">
      <c r="A390" s="9">
        <v>384</v>
      </c>
      <c r="B390" s="48" t="s">
        <v>950</v>
      </c>
      <c r="C390" s="49" t="s">
        <v>1027</v>
      </c>
      <c r="D390" s="6" t="s">
        <v>69</v>
      </c>
      <c r="E390" s="50" t="s">
        <v>72</v>
      </c>
      <c r="F390" s="51" t="s">
        <v>87</v>
      </c>
      <c r="G390" s="10"/>
      <c r="H390" s="9" t="s">
        <v>1028</v>
      </c>
      <c r="I390" s="9" t="s">
        <v>74</v>
      </c>
      <c r="J390" s="9">
        <v>8</v>
      </c>
      <c r="K390" s="10" t="s">
        <v>89</v>
      </c>
      <c r="L390" s="13" t="s">
        <v>76</v>
      </c>
      <c r="M390" s="53" t="s">
        <v>952</v>
      </c>
      <c r="N390" s="9" t="s">
        <v>1029</v>
      </c>
      <c r="O390" s="70"/>
      <c r="P390" s="13"/>
      <c r="Q390" s="10"/>
      <c r="R390" s="10"/>
      <c r="S390" s="10"/>
      <c r="T390" s="13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72"/>
      <c r="AP390" s="72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</row>
    <row r="391" spans="1:57" x14ac:dyDescent="0.25">
      <c r="A391" s="9">
        <v>385</v>
      </c>
      <c r="B391" s="48" t="s">
        <v>950</v>
      </c>
      <c r="C391" s="49" t="s">
        <v>1030</v>
      </c>
      <c r="D391" s="6" t="s">
        <v>69</v>
      </c>
      <c r="E391" s="50" t="s">
        <v>72</v>
      </c>
      <c r="F391" s="51" t="s">
        <v>87</v>
      </c>
      <c r="G391" s="10"/>
      <c r="H391" t="s">
        <v>292</v>
      </c>
      <c r="I391" s="9" t="s">
        <v>74</v>
      </c>
      <c r="J391" s="9">
        <v>14</v>
      </c>
      <c r="K391" s="10" t="s">
        <v>96</v>
      </c>
      <c r="L391" s="13" t="s">
        <v>97</v>
      </c>
      <c r="M391" s="53" t="s">
        <v>519</v>
      </c>
      <c r="N391" s="9" t="s">
        <v>1031</v>
      </c>
      <c r="O391" s="70"/>
      <c r="P391" s="13"/>
      <c r="Q391" s="10"/>
      <c r="R391" s="10"/>
      <c r="S391" s="10"/>
      <c r="T391" s="13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 t="s">
        <v>100</v>
      </c>
      <c r="AL391" s="10"/>
      <c r="AM391" s="9">
        <v>14</v>
      </c>
      <c r="AN391" s="10" t="s">
        <v>282</v>
      </c>
      <c r="AO391" s="72"/>
      <c r="AP391" s="72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</row>
    <row r="392" spans="1:57" x14ac:dyDescent="0.25">
      <c r="A392" s="9">
        <v>386</v>
      </c>
      <c r="B392" s="48" t="s">
        <v>950</v>
      </c>
      <c r="C392" s="49" t="s">
        <v>1032</v>
      </c>
      <c r="D392" s="6" t="s">
        <v>69</v>
      </c>
      <c r="E392" s="50" t="s">
        <v>72</v>
      </c>
      <c r="F392" s="51" t="s">
        <v>87</v>
      </c>
      <c r="G392" s="10"/>
      <c r="H392" s="9" t="s">
        <v>427</v>
      </c>
      <c r="I392" s="9" t="s">
        <v>74</v>
      </c>
      <c r="J392" s="9">
        <v>330</v>
      </c>
      <c r="K392" s="10" t="s">
        <v>96</v>
      </c>
      <c r="L392" s="13" t="s">
        <v>97</v>
      </c>
      <c r="M392" s="53" t="s">
        <v>977</v>
      </c>
      <c r="N392" s="9" t="s">
        <v>1033</v>
      </c>
      <c r="O392" s="70"/>
      <c r="P392" s="13"/>
      <c r="Q392" s="10"/>
      <c r="R392" s="10"/>
      <c r="S392" s="10"/>
      <c r="T392" s="13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 t="s">
        <v>100</v>
      </c>
      <c r="AL392" s="10"/>
      <c r="AM392" s="9" t="s">
        <v>1034</v>
      </c>
      <c r="AN392" s="10" t="s">
        <v>165</v>
      </c>
      <c r="AO392" s="72">
        <v>46283</v>
      </c>
      <c r="AP392" s="72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</row>
    <row r="393" spans="1:57" x14ac:dyDescent="0.25">
      <c r="A393" s="9">
        <v>387</v>
      </c>
      <c r="B393" s="48" t="s">
        <v>950</v>
      </c>
      <c r="C393" s="49" t="s">
        <v>1035</v>
      </c>
      <c r="D393" s="6" t="s">
        <v>69</v>
      </c>
      <c r="E393" s="50" t="s">
        <v>72</v>
      </c>
      <c r="F393" s="61" t="s">
        <v>87</v>
      </c>
      <c r="G393" s="10"/>
      <c r="H393" s="15" t="s">
        <v>88</v>
      </c>
      <c r="I393" s="15" t="s">
        <v>151</v>
      </c>
      <c r="J393" s="10">
        <v>70</v>
      </c>
      <c r="K393" s="10" t="s">
        <v>89</v>
      </c>
      <c r="L393" s="13" t="s">
        <v>76</v>
      </c>
      <c r="M393" s="53" t="s">
        <v>952</v>
      </c>
      <c r="N393" s="9" t="s">
        <v>1036</v>
      </c>
      <c r="O393" s="70"/>
      <c r="P393" s="13"/>
      <c r="Q393" s="10"/>
      <c r="R393" s="10"/>
      <c r="S393" s="10"/>
      <c r="T393" s="13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72"/>
      <c r="AP393" s="72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</row>
    <row r="394" spans="1:57" x14ac:dyDescent="0.25">
      <c r="A394" s="9">
        <v>388</v>
      </c>
      <c r="B394" s="48" t="s">
        <v>950</v>
      </c>
      <c r="C394" s="49" t="s">
        <v>1037</v>
      </c>
      <c r="D394" s="6" t="s">
        <v>69</v>
      </c>
      <c r="E394" s="50" t="s">
        <v>72</v>
      </c>
      <c r="F394" s="51" t="s">
        <v>87</v>
      </c>
      <c r="G394" s="63"/>
      <c r="H394" s="1" t="s">
        <v>292</v>
      </c>
      <c r="I394" s="9" t="s">
        <v>74</v>
      </c>
      <c r="J394" s="54">
        <v>33</v>
      </c>
      <c r="K394" s="10" t="s">
        <v>96</v>
      </c>
      <c r="L394" s="13" t="s">
        <v>97</v>
      </c>
      <c r="M394" s="53" t="s">
        <v>126</v>
      </c>
      <c r="N394" s="9" t="s">
        <v>1038</v>
      </c>
      <c r="O394" s="70"/>
      <c r="P394" s="13"/>
      <c r="Q394" s="10"/>
      <c r="R394" s="10"/>
      <c r="S394" s="10"/>
      <c r="T394" s="13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 t="s">
        <v>100</v>
      </c>
      <c r="AL394" s="10"/>
      <c r="AM394" s="9" t="s">
        <v>1039</v>
      </c>
      <c r="AN394" s="10" t="s">
        <v>206</v>
      </c>
      <c r="AO394" s="72"/>
      <c r="AP394" s="72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</row>
    <row r="395" spans="1:57" x14ac:dyDescent="0.25">
      <c r="A395" s="9">
        <v>389</v>
      </c>
      <c r="B395" s="48" t="s">
        <v>950</v>
      </c>
      <c r="C395" s="49" t="s">
        <v>1040</v>
      </c>
      <c r="D395" s="6" t="s">
        <v>69</v>
      </c>
      <c r="E395" s="50" t="s">
        <v>72</v>
      </c>
      <c r="F395" s="51" t="s">
        <v>87</v>
      </c>
      <c r="G395" s="63"/>
      <c r="H395" s="62">
        <v>4193</v>
      </c>
      <c r="I395" s="9" t="s">
        <v>74</v>
      </c>
      <c r="J395" s="54">
        <v>177</v>
      </c>
      <c r="K395" s="10" t="s">
        <v>96</v>
      </c>
      <c r="L395" s="13" t="s">
        <v>97</v>
      </c>
      <c r="M395" s="53" t="s">
        <v>519</v>
      </c>
      <c r="N395" s="9" t="s">
        <v>1041</v>
      </c>
      <c r="O395" s="70"/>
      <c r="P395" s="13"/>
      <c r="Q395" s="10"/>
      <c r="R395" s="10"/>
      <c r="S395" s="10"/>
      <c r="T395" s="13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 t="s">
        <v>100</v>
      </c>
      <c r="AL395" s="10"/>
      <c r="AM395" s="9" t="s">
        <v>1042</v>
      </c>
      <c r="AN395" s="10" t="s">
        <v>282</v>
      </c>
      <c r="AO395" s="72"/>
      <c r="AP395" s="72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</row>
    <row r="396" spans="1:57" s="47" customFormat="1" x14ac:dyDescent="0.25">
      <c r="A396" s="41">
        <v>390</v>
      </c>
      <c r="B396" s="42" t="s">
        <v>950</v>
      </c>
      <c r="C396" s="43" t="s">
        <v>1043</v>
      </c>
      <c r="D396" s="44" t="s">
        <v>69</v>
      </c>
      <c r="E396" s="45" t="s">
        <v>70</v>
      </c>
      <c r="F396" s="65" t="s">
        <v>70</v>
      </c>
      <c r="G396" s="44" t="s">
        <v>70</v>
      </c>
      <c r="H396" s="65" t="s">
        <v>70</v>
      </c>
      <c r="I396" s="65" t="s">
        <v>70</v>
      </c>
      <c r="J396" s="44" t="s">
        <v>70</v>
      </c>
      <c r="K396" s="44" t="s">
        <v>70</v>
      </c>
      <c r="L396" s="44" t="s">
        <v>70</v>
      </c>
      <c r="M396" s="45" t="s">
        <v>70</v>
      </c>
      <c r="N396" s="44" t="s">
        <v>70</v>
      </c>
      <c r="O396" s="67"/>
      <c r="P396" s="46"/>
      <c r="Q396" s="41"/>
      <c r="R396" s="41"/>
      <c r="S396" s="41"/>
      <c r="T396" s="46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72"/>
      <c r="AP396" s="72"/>
      <c r="AQ396" s="41"/>
      <c r="AR396" s="41"/>
      <c r="AS396" s="41"/>
      <c r="AT396" s="41"/>
      <c r="AU396" s="41"/>
      <c r="AV396" s="41"/>
      <c r="AW396" s="41"/>
      <c r="AX396" s="41"/>
      <c r="AY396" s="10"/>
      <c r="AZ396" s="41"/>
      <c r="BA396" s="41"/>
      <c r="BB396" s="41"/>
      <c r="BC396" s="41"/>
      <c r="BD396" s="41"/>
      <c r="BE396" s="41"/>
    </row>
    <row r="397" spans="1:57" s="47" customFormat="1" x14ac:dyDescent="0.25">
      <c r="A397" s="41">
        <v>391</v>
      </c>
      <c r="B397" s="42" t="s">
        <v>950</v>
      </c>
      <c r="C397" s="43" t="s">
        <v>1044</v>
      </c>
      <c r="D397" s="44" t="s">
        <v>69</v>
      </c>
      <c r="E397" s="45" t="s">
        <v>70</v>
      </c>
      <c r="F397" s="44" t="s">
        <v>70</v>
      </c>
      <c r="G397" s="44" t="s">
        <v>70</v>
      </c>
      <c r="H397" s="44" t="s">
        <v>70</v>
      </c>
      <c r="I397" s="44" t="s">
        <v>70</v>
      </c>
      <c r="J397" s="44" t="s">
        <v>70</v>
      </c>
      <c r="K397" s="44" t="s">
        <v>70</v>
      </c>
      <c r="L397" s="44" t="s">
        <v>70</v>
      </c>
      <c r="M397" s="45" t="s">
        <v>70</v>
      </c>
      <c r="N397" s="44" t="s">
        <v>70</v>
      </c>
      <c r="O397" s="67"/>
      <c r="P397" s="46"/>
      <c r="Q397" s="41"/>
      <c r="R397" s="41"/>
      <c r="S397" s="41"/>
      <c r="T397" s="46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72"/>
      <c r="AP397" s="72"/>
      <c r="AQ397" s="41"/>
      <c r="AR397" s="41"/>
      <c r="AS397" s="41"/>
      <c r="AT397" s="41"/>
      <c r="AU397" s="41"/>
      <c r="AV397" s="41"/>
      <c r="AW397" s="41"/>
      <c r="AX397" s="41"/>
      <c r="AY397" s="10"/>
      <c r="AZ397" s="41"/>
      <c r="BA397" s="41"/>
      <c r="BB397" s="41"/>
      <c r="BC397" s="41"/>
      <c r="BD397" s="41"/>
      <c r="BE397" s="41"/>
    </row>
    <row r="398" spans="1:57" s="47" customFormat="1" x14ac:dyDescent="0.25">
      <c r="A398" s="41">
        <v>392</v>
      </c>
      <c r="B398" s="42" t="s">
        <v>950</v>
      </c>
      <c r="C398" s="43" t="s">
        <v>1045</v>
      </c>
      <c r="D398" s="44" t="s">
        <v>69</v>
      </c>
      <c r="E398" s="45" t="s">
        <v>70</v>
      </c>
      <c r="F398" s="64" t="s">
        <v>70</v>
      </c>
      <c r="G398" s="44" t="s">
        <v>70</v>
      </c>
      <c r="H398" s="64" t="s">
        <v>70</v>
      </c>
      <c r="I398" s="64" t="s">
        <v>70</v>
      </c>
      <c r="J398" s="44" t="s">
        <v>70</v>
      </c>
      <c r="K398" s="44" t="s">
        <v>70</v>
      </c>
      <c r="L398" s="44" t="s">
        <v>70</v>
      </c>
      <c r="M398" s="45" t="s">
        <v>70</v>
      </c>
      <c r="N398" s="44" t="s">
        <v>70</v>
      </c>
      <c r="O398" s="67"/>
      <c r="P398" s="46"/>
      <c r="Q398" s="41"/>
      <c r="R398" s="41"/>
      <c r="S398" s="41"/>
      <c r="T398" s="46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72"/>
      <c r="AP398" s="72"/>
      <c r="AQ398" s="41"/>
      <c r="AR398" s="41"/>
      <c r="AS398" s="41"/>
      <c r="AT398" s="41"/>
      <c r="AU398" s="41"/>
      <c r="AV398" s="41"/>
      <c r="AW398" s="41"/>
      <c r="AX398" s="41"/>
      <c r="AY398" s="10"/>
      <c r="AZ398" s="41"/>
      <c r="BA398" s="41"/>
      <c r="BB398" s="41"/>
      <c r="BC398" s="41"/>
      <c r="BD398" s="41"/>
      <c r="BE398" s="41"/>
    </row>
    <row r="399" spans="1:57" x14ac:dyDescent="0.25">
      <c r="A399" s="9">
        <v>393</v>
      </c>
      <c r="B399" s="48" t="s">
        <v>950</v>
      </c>
      <c r="C399" s="49" t="s">
        <v>1046</v>
      </c>
      <c r="D399" s="6" t="s">
        <v>69</v>
      </c>
      <c r="E399" s="50" t="s">
        <v>72</v>
      </c>
      <c r="F399" s="51" t="s">
        <v>87</v>
      </c>
      <c r="G399" s="63"/>
      <c r="H399" s="15" t="s">
        <v>88</v>
      </c>
      <c r="I399" s="9" t="s">
        <v>74</v>
      </c>
      <c r="J399" s="54">
        <v>137</v>
      </c>
      <c r="K399" s="10" t="s">
        <v>96</v>
      </c>
      <c r="L399" s="13" t="s">
        <v>97</v>
      </c>
      <c r="M399" s="53" t="s">
        <v>436</v>
      </c>
      <c r="N399" s="9" t="s">
        <v>1047</v>
      </c>
      <c r="O399" s="70"/>
      <c r="P399" s="13"/>
      <c r="Q399" s="10"/>
      <c r="R399" s="10"/>
      <c r="S399" s="10"/>
      <c r="T399" s="13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 t="s">
        <v>100</v>
      </c>
      <c r="AL399" s="10"/>
      <c r="AM399" s="73" t="s">
        <v>1048</v>
      </c>
      <c r="AN399" s="10"/>
      <c r="AO399" s="72"/>
      <c r="AP399" s="72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</row>
    <row r="400" spans="1:57" x14ac:dyDescent="0.25">
      <c r="A400" s="9">
        <v>394</v>
      </c>
      <c r="B400" s="48" t="s">
        <v>950</v>
      </c>
      <c r="C400" s="49" t="s">
        <v>1049</v>
      </c>
      <c r="D400" s="6" t="s">
        <v>69</v>
      </c>
      <c r="E400" s="50" t="s">
        <v>72</v>
      </c>
      <c r="F400" s="51" t="s">
        <v>87</v>
      </c>
      <c r="G400" s="63"/>
      <c r="H400" s="9" t="s">
        <v>88</v>
      </c>
      <c r="I400" s="9" t="s">
        <v>151</v>
      </c>
      <c r="J400" s="54">
        <v>22</v>
      </c>
      <c r="K400" s="10" t="s">
        <v>96</v>
      </c>
      <c r="L400" s="13" t="s">
        <v>97</v>
      </c>
      <c r="M400" s="53" t="s">
        <v>1050</v>
      </c>
      <c r="N400" s="9" t="s">
        <v>1051</v>
      </c>
      <c r="O400" s="70"/>
      <c r="P400" s="13"/>
      <c r="Q400" s="10"/>
      <c r="R400" s="10"/>
      <c r="S400" s="10"/>
      <c r="T400" s="13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 t="s">
        <v>100</v>
      </c>
      <c r="AL400" s="10"/>
      <c r="AM400" s="9">
        <v>11</v>
      </c>
      <c r="AN400" s="10" t="s">
        <v>316</v>
      </c>
      <c r="AO400" s="72"/>
      <c r="AP400" s="72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</row>
    <row r="401" spans="1:57" s="47" customFormat="1" x14ac:dyDescent="0.25">
      <c r="A401" s="41">
        <v>395</v>
      </c>
      <c r="B401" s="42" t="s">
        <v>950</v>
      </c>
      <c r="C401" s="43" t="s">
        <v>1052</v>
      </c>
      <c r="D401" s="44" t="s">
        <v>69</v>
      </c>
      <c r="E401" s="45" t="s">
        <v>70</v>
      </c>
      <c r="F401" s="65" t="s">
        <v>70</v>
      </c>
      <c r="G401" s="44" t="s">
        <v>70</v>
      </c>
      <c r="H401" s="65" t="s">
        <v>70</v>
      </c>
      <c r="I401" s="65" t="s">
        <v>70</v>
      </c>
      <c r="J401" s="44" t="s">
        <v>70</v>
      </c>
      <c r="K401" s="44" t="s">
        <v>70</v>
      </c>
      <c r="L401" s="44" t="s">
        <v>70</v>
      </c>
      <c r="M401" s="45" t="s">
        <v>70</v>
      </c>
      <c r="N401" s="44" t="s">
        <v>70</v>
      </c>
      <c r="O401" s="67"/>
      <c r="P401" s="46"/>
      <c r="Q401" s="41"/>
      <c r="R401" s="41"/>
      <c r="S401" s="41"/>
      <c r="T401" s="46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72"/>
      <c r="AP401" s="72"/>
      <c r="AQ401" s="41"/>
      <c r="AR401" s="41"/>
      <c r="AS401" s="41"/>
      <c r="AT401" s="41"/>
      <c r="AU401" s="41"/>
      <c r="AV401" s="41"/>
      <c r="AW401" s="41"/>
      <c r="AX401" s="41"/>
      <c r="AY401" s="10"/>
      <c r="AZ401" s="41"/>
      <c r="BA401" s="41"/>
      <c r="BB401" s="41"/>
      <c r="BC401" s="41"/>
      <c r="BD401" s="41"/>
      <c r="BE401" s="41"/>
    </row>
    <row r="402" spans="1:57" x14ac:dyDescent="0.25">
      <c r="A402" s="9">
        <v>396</v>
      </c>
      <c r="B402" s="48" t="s">
        <v>950</v>
      </c>
      <c r="C402" s="49" t="s">
        <v>1053</v>
      </c>
      <c r="D402" s="6" t="s">
        <v>69</v>
      </c>
      <c r="E402" s="50" t="s">
        <v>72</v>
      </c>
      <c r="F402" s="51" t="s">
        <v>87</v>
      </c>
      <c r="G402" s="10"/>
      <c r="H402" s="9" t="s">
        <v>88</v>
      </c>
      <c r="I402" s="9" t="s">
        <v>151</v>
      </c>
      <c r="J402" s="10">
        <v>92</v>
      </c>
      <c r="K402" s="10" t="s">
        <v>89</v>
      </c>
      <c r="L402" s="13" t="s">
        <v>76</v>
      </c>
      <c r="M402" s="53" t="s">
        <v>952</v>
      </c>
      <c r="N402" s="9" t="s">
        <v>1054</v>
      </c>
      <c r="O402" s="70"/>
      <c r="P402" s="13"/>
      <c r="Q402" s="10"/>
      <c r="R402" s="10"/>
      <c r="S402" s="10"/>
      <c r="T402" s="13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72"/>
      <c r="AP402" s="72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</row>
    <row r="403" spans="1:57" x14ac:dyDescent="0.25">
      <c r="A403" s="9">
        <v>397</v>
      </c>
      <c r="B403" s="48" t="s">
        <v>950</v>
      </c>
      <c r="C403" s="49" t="s">
        <v>1055</v>
      </c>
      <c r="D403" s="6" t="s">
        <v>69</v>
      </c>
      <c r="E403" s="50" t="s">
        <v>72</v>
      </c>
      <c r="F403" s="51" t="s">
        <v>87</v>
      </c>
      <c r="G403" s="10"/>
      <c r="H403" s="9" t="s">
        <v>88</v>
      </c>
      <c r="I403" s="9" t="s">
        <v>74</v>
      </c>
      <c r="J403" s="9">
        <v>319</v>
      </c>
      <c r="K403" s="10" t="s">
        <v>96</v>
      </c>
      <c r="L403" s="13" t="s">
        <v>97</v>
      </c>
      <c r="M403" s="53" t="s">
        <v>126</v>
      </c>
      <c r="N403" s="9" t="s">
        <v>1056</v>
      </c>
      <c r="O403" s="70"/>
      <c r="P403" s="13"/>
      <c r="Q403" s="10"/>
      <c r="R403" s="10"/>
      <c r="S403" s="10"/>
      <c r="T403" s="13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 t="s">
        <v>100</v>
      </c>
      <c r="AL403" s="10"/>
      <c r="AM403" s="9" t="s">
        <v>1057</v>
      </c>
      <c r="AN403" s="10" t="s">
        <v>206</v>
      </c>
      <c r="AO403" s="72"/>
      <c r="AP403" s="72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</row>
    <row r="404" spans="1:57" x14ac:dyDescent="0.25">
      <c r="A404" s="9">
        <v>398</v>
      </c>
      <c r="B404" s="48" t="s">
        <v>950</v>
      </c>
      <c r="C404" s="49" t="s">
        <v>1058</v>
      </c>
      <c r="D404" s="6" t="s">
        <v>69</v>
      </c>
      <c r="E404" s="50" t="s">
        <v>72</v>
      </c>
      <c r="F404" s="51" t="s">
        <v>87</v>
      </c>
      <c r="G404" s="10"/>
      <c r="H404" s="62">
        <v>4193</v>
      </c>
      <c r="I404" s="9" t="s">
        <v>74</v>
      </c>
      <c r="J404" s="9">
        <v>89</v>
      </c>
      <c r="K404" s="10" t="s">
        <v>96</v>
      </c>
      <c r="L404" s="13" t="s">
        <v>97</v>
      </c>
      <c r="M404" s="53" t="s">
        <v>952</v>
      </c>
      <c r="N404" s="9" t="s">
        <v>1059</v>
      </c>
      <c r="O404" s="70"/>
      <c r="P404" s="13"/>
      <c r="Q404" s="10"/>
      <c r="R404" s="10"/>
      <c r="S404" s="10"/>
      <c r="T404" s="13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 t="s">
        <v>100</v>
      </c>
      <c r="AL404" s="10"/>
      <c r="AM404" s="9" t="s">
        <v>1060</v>
      </c>
      <c r="AN404" s="10" t="s">
        <v>316</v>
      </c>
      <c r="AO404" s="72"/>
      <c r="AP404" s="72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</row>
    <row r="405" spans="1:57" x14ac:dyDescent="0.25">
      <c r="A405" s="9">
        <v>399</v>
      </c>
      <c r="B405" s="48" t="s">
        <v>950</v>
      </c>
      <c r="C405" s="49" t="s">
        <v>1061</v>
      </c>
      <c r="D405" s="6" t="s">
        <v>69</v>
      </c>
      <c r="E405" s="50" t="s">
        <v>72</v>
      </c>
      <c r="F405" s="51" t="s">
        <v>87</v>
      </c>
      <c r="G405" s="10"/>
      <c r="H405" s="9" t="s">
        <v>427</v>
      </c>
      <c r="I405" s="9" t="s">
        <v>74</v>
      </c>
      <c r="J405" s="9">
        <v>206</v>
      </c>
      <c r="K405" s="10" t="s">
        <v>96</v>
      </c>
      <c r="L405" s="13" t="s">
        <v>97</v>
      </c>
      <c r="M405" s="53" t="s">
        <v>1062</v>
      </c>
      <c r="N405" s="9" t="s">
        <v>1063</v>
      </c>
      <c r="O405" s="70"/>
      <c r="P405" s="13"/>
      <c r="Q405" s="10"/>
      <c r="R405" s="10"/>
      <c r="S405" s="10"/>
      <c r="T405" s="13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 t="s">
        <v>100</v>
      </c>
      <c r="AL405" s="10"/>
      <c r="AM405" s="9" t="s">
        <v>1064</v>
      </c>
      <c r="AN405" s="10"/>
      <c r="AO405" s="72"/>
      <c r="AP405" s="72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</row>
    <row r="406" spans="1:57" x14ac:dyDescent="0.25">
      <c r="A406" s="9">
        <v>400</v>
      </c>
      <c r="B406" s="48" t="s">
        <v>950</v>
      </c>
      <c r="C406" s="49" t="s">
        <v>1065</v>
      </c>
      <c r="D406" s="6" t="s">
        <v>69</v>
      </c>
      <c r="E406" s="50" t="s">
        <v>72</v>
      </c>
      <c r="F406" s="51" t="s">
        <v>87</v>
      </c>
      <c r="G406" s="10"/>
      <c r="H406" s="9" t="s">
        <v>427</v>
      </c>
      <c r="I406" s="9" t="s">
        <v>74</v>
      </c>
      <c r="J406" s="9">
        <v>92</v>
      </c>
      <c r="K406" s="10" t="s">
        <v>96</v>
      </c>
      <c r="L406" s="13" t="s">
        <v>97</v>
      </c>
      <c r="M406" s="53" t="s">
        <v>1062</v>
      </c>
      <c r="N406" s="9" t="s">
        <v>1066</v>
      </c>
      <c r="O406" s="70"/>
      <c r="P406" s="13"/>
      <c r="Q406" s="10"/>
      <c r="R406" s="10"/>
      <c r="S406" s="10"/>
      <c r="T406" s="13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 t="s">
        <v>100</v>
      </c>
      <c r="AL406" s="10"/>
      <c r="AM406" s="9" t="s">
        <v>1067</v>
      </c>
      <c r="AN406" s="10"/>
      <c r="AO406" s="72"/>
      <c r="AP406" s="72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</row>
    <row r="407" spans="1:57" x14ac:dyDescent="0.25">
      <c r="A407" s="9">
        <v>401</v>
      </c>
      <c r="B407" s="48" t="s">
        <v>950</v>
      </c>
      <c r="C407" s="49" t="s">
        <v>1068</v>
      </c>
      <c r="D407" s="6" t="s">
        <v>69</v>
      </c>
      <c r="E407" s="50" t="s">
        <v>72</v>
      </c>
      <c r="F407" s="51" t="s">
        <v>87</v>
      </c>
      <c r="G407" s="10"/>
      <c r="H407" s="9" t="s">
        <v>427</v>
      </c>
      <c r="I407" s="9" t="s">
        <v>74</v>
      </c>
      <c r="J407" s="9">
        <v>72</v>
      </c>
      <c r="K407" s="10" t="s">
        <v>96</v>
      </c>
      <c r="L407" s="13" t="s">
        <v>97</v>
      </c>
      <c r="M407" s="53" t="s">
        <v>952</v>
      </c>
      <c r="N407" s="9" t="s">
        <v>1069</v>
      </c>
      <c r="O407" s="70"/>
      <c r="P407" s="13"/>
      <c r="Q407" s="10"/>
      <c r="R407" s="10"/>
      <c r="S407" s="10"/>
      <c r="T407" s="13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 t="s">
        <v>100</v>
      </c>
      <c r="AL407" s="10"/>
      <c r="AM407" s="9">
        <v>72</v>
      </c>
      <c r="AN407" s="10" t="s">
        <v>179</v>
      </c>
      <c r="AO407" s="72"/>
      <c r="AP407" s="72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</row>
    <row r="408" spans="1:57" x14ac:dyDescent="0.25">
      <c r="A408" s="9">
        <v>402</v>
      </c>
      <c r="B408" s="48" t="s">
        <v>950</v>
      </c>
      <c r="C408" s="49" t="s">
        <v>1070</v>
      </c>
      <c r="D408" s="6" t="s">
        <v>69</v>
      </c>
      <c r="E408" s="50" t="s">
        <v>72</v>
      </c>
      <c r="F408" s="51" t="s">
        <v>87</v>
      </c>
      <c r="G408" s="10"/>
      <c r="H408" s="9" t="s">
        <v>427</v>
      </c>
      <c r="I408" s="9" t="s">
        <v>74</v>
      </c>
      <c r="J408" s="9">
        <v>25</v>
      </c>
      <c r="K408" s="10" t="s">
        <v>96</v>
      </c>
      <c r="L408" s="13" t="s">
        <v>97</v>
      </c>
      <c r="M408" s="53" t="s">
        <v>126</v>
      </c>
      <c r="N408" s="9" t="s">
        <v>1071</v>
      </c>
      <c r="O408" s="70"/>
      <c r="P408" s="13"/>
      <c r="Q408" s="10"/>
      <c r="R408" s="10"/>
      <c r="S408" s="10"/>
      <c r="T408" s="13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 t="s">
        <v>100</v>
      </c>
      <c r="AL408" s="10"/>
      <c r="AM408" s="9" t="s">
        <v>1072</v>
      </c>
      <c r="AN408" s="10" t="s">
        <v>206</v>
      </c>
      <c r="AO408" s="72"/>
      <c r="AP408" s="72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</row>
    <row r="409" spans="1:57" x14ac:dyDescent="0.25">
      <c r="A409" s="9">
        <v>403</v>
      </c>
      <c r="B409" s="48" t="s">
        <v>950</v>
      </c>
      <c r="C409" s="49" t="s">
        <v>1073</v>
      </c>
      <c r="D409" s="6" t="s">
        <v>69</v>
      </c>
      <c r="E409" s="50" t="s">
        <v>72</v>
      </c>
      <c r="F409" s="51" t="s">
        <v>87</v>
      </c>
      <c r="G409" s="10"/>
      <c r="H409" s="9" t="s">
        <v>427</v>
      </c>
      <c r="I409" s="9" t="s">
        <v>74</v>
      </c>
      <c r="J409" s="9">
        <v>119</v>
      </c>
      <c r="K409" s="10" t="s">
        <v>96</v>
      </c>
      <c r="L409" s="13" t="s">
        <v>97</v>
      </c>
      <c r="M409" s="53" t="s">
        <v>952</v>
      </c>
      <c r="N409" s="9" t="s">
        <v>1074</v>
      </c>
      <c r="O409" s="70"/>
      <c r="P409" s="13"/>
      <c r="Q409" s="10"/>
      <c r="R409" s="10"/>
      <c r="S409" s="10"/>
      <c r="T409" s="13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 t="s">
        <v>100</v>
      </c>
      <c r="AL409" s="10"/>
      <c r="AM409" s="9" t="s">
        <v>1075</v>
      </c>
      <c r="AN409" s="10" t="s">
        <v>179</v>
      </c>
      <c r="AO409" s="72"/>
      <c r="AP409" s="72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</row>
    <row r="410" spans="1:57" x14ac:dyDescent="0.25">
      <c r="A410" s="9">
        <v>404</v>
      </c>
      <c r="B410" s="48" t="s">
        <v>950</v>
      </c>
      <c r="C410" s="49" t="s">
        <v>1076</v>
      </c>
      <c r="D410" s="6" t="s">
        <v>69</v>
      </c>
      <c r="E410" s="50" t="s">
        <v>72</v>
      </c>
      <c r="F410" s="51" t="s">
        <v>87</v>
      </c>
      <c r="G410" s="10"/>
      <c r="H410" s="9" t="s">
        <v>88</v>
      </c>
      <c r="I410" s="9" t="s">
        <v>151</v>
      </c>
      <c r="J410" s="10">
        <v>64</v>
      </c>
      <c r="K410" s="10" t="s">
        <v>89</v>
      </c>
      <c r="L410" s="13" t="s">
        <v>76</v>
      </c>
      <c r="M410" s="53" t="s">
        <v>952</v>
      </c>
      <c r="N410" s="9" t="s">
        <v>1077</v>
      </c>
      <c r="O410" s="70"/>
      <c r="P410" s="13"/>
      <c r="Q410" s="10"/>
      <c r="R410" s="10"/>
      <c r="S410" s="10"/>
      <c r="T410" s="13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72"/>
      <c r="AP410" s="72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</row>
    <row r="411" spans="1:57" x14ac:dyDescent="0.25">
      <c r="A411" s="9">
        <v>405</v>
      </c>
      <c r="B411" s="48" t="s">
        <v>950</v>
      </c>
      <c r="C411" s="49" t="s">
        <v>1078</v>
      </c>
      <c r="D411" s="6" t="s">
        <v>69</v>
      </c>
      <c r="E411" s="50" t="s">
        <v>72</v>
      </c>
      <c r="F411" s="51" t="s">
        <v>87</v>
      </c>
      <c r="G411" s="10"/>
      <c r="H411" s="9" t="s">
        <v>427</v>
      </c>
      <c r="I411" s="9" t="s">
        <v>74</v>
      </c>
      <c r="J411" s="9">
        <v>193</v>
      </c>
      <c r="K411" s="10" t="s">
        <v>96</v>
      </c>
      <c r="L411" s="13" t="s">
        <v>97</v>
      </c>
      <c r="M411" s="53" t="s">
        <v>952</v>
      </c>
      <c r="N411" s="9" t="s">
        <v>1079</v>
      </c>
      <c r="O411" s="70"/>
      <c r="P411" s="13"/>
      <c r="Q411" s="10"/>
      <c r="R411" s="10"/>
      <c r="S411" s="10"/>
      <c r="T411" s="13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 t="s">
        <v>100</v>
      </c>
      <c r="AL411" s="10"/>
      <c r="AM411" s="9" t="s">
        <v>1080</v>
      </c>
      <c r="AN411" s="10" t="s">
        <v>179</v>
      </c>
      <c r="AO411" s="72"/>
      <c r="AP411" s="72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</row>
    <row r="412" spans="1:57" x14ac:dyDescent="0.25">
      <c r="A412" s="9">
        <v>406</v>
      </c>
      <c r="B412" s="48" t="s">
        <v>950</v>
      </c>
      <c r="C412" s="49" t="s">
        <v>1081</v>
      </c>
      <c r="D412" s="6" t="s">
        <v>69</v>
      </c>
      <c r="E412" s="50" t="s">
        <v>72</v>
      </c>
      <c r="F412" s="51" t="s">
        <v>87</v>
      </c>
      <c r="G412" s="10"/>
      <c r="H412" s="9" t="s">
        <v>427</v>
      </c>
      <c r="I412" s="9" t="s">
        <v>74</v>
      </c>
      <c r="J412" s="9">
        <v>13</v>
      </c>
      <c r="K412" s="10" t="s">
        <v>96</v>
      </c>
      <c r="L412" s="13" t="s">
        <v>97</v>
      </c>
      <c r="M412" s="53" t="s">
        <v>952</v>
      </c>
      <c r="N412" s="9" t="s">
        <v>1082</v>
      </c>
      <c r="O412" s="70"/>
      <c r="P412" s="13"/>
      <c r="Q412" s="10"/>
      <c r="R412" s="10"/>
      <c r="S412" s="10"/>
      <c r="T412" s="13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 t="s">
        <v>100</v>
      </c>
      <c r="AL412" s="10"/>
      <c r="AM412" s="9" t="s">
        <v>1083</v>
      </c>
      <c r="AN412" s="10" t="s">
        <v>179</v>
      </c>
      <c r="AO412" s="72"/>
      <c r="AP412" s="72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</row>
    <row r="413" spans="1:57" x14ac:dyDescent="0.25">
      <c r="A413" s="9">
        <v>407</v>
      </c>
      <c r="B413" s="48" t="s">
        <v>950</v>
      </c>
      <c r="C413" s="49" t="s">
        <v>1084</v>
      </c>
      <c r="D413" s="6" t="s">
        <v>69</v>
      </c>
      <c r="E413" s="50" t="s">
        <v>72</v>
      </c>
      <c r="F413" s="51" t="s">
        <v>87</v>
      </c>
      <c r="G413" s="10"/>
      <c r="H413" s="9" t="s">
        <v>427</v>
      </c>
      <c r="I413" s="9" t="s">
        <v>74</v>
      </c>
      <c r="J413" s="9">
        <v>12</v>
      </c>
      <c r="K413" s="10" t="s">
        <v>96</v>
      </c>
      <c r="L413" s="13" t="s">
        <v>97</v>
      </c>
      <c r="M413" s="53" t="s">
        <v>952</v>
      </c>
      <c r="N413" s="9" t="s">
        <v>1085</v>
      </c>
      <c r="O413" s="70"/>
      <c r="P413" s="13"/>
      <c r="Q413" s="10"/>
      <c r="R413" s="10"/>
      <c r="S413" s="10"/>
      <c r="T413" s="13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 t="s">
        <v>100</v>
      </c>
      <c r="AL413" s="10"/>
      <c r="AM413" s="9" t="s">
        <v>1086</v>
      </c>
      <c r="AN413" s="10" t="s">
        <v>179</v>
      </c>
      <c r="AO413" s="72"/>
      <c r="AP413" s="72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</row>
    <row r="414" spans="1:57" x14ac:dyDescent="0.25">
      <c r="A414" s="9">
        <v>408</v>
      </c>
      <c r="B414" s="48" t="s">
        <v>950</v>
      </c>
      <c r="C414" s="49" t="s">
        <v>1087</v>
      </c>
      <c r="D414" s="6" t="s">
        <v>69</v>
      </c>
      <c r="E414" s="50" t="s">
        <v>72</v>
      </c>
      <c r="F414" s="51" t="s">
        <v>87</v>
      </c>
      <c r="G414" s="10"/>
      <c r="H414" s="9" t="s">
        <v>1028</v>
      </c>
      <c r="I414" s="9" t="s">
        <v>74</v>
      </c>
      <c r="J414" s="9">
        <v>46</v>
      </c>
      <c r="K414" s="10" t="s">
        <v>96</v>
      </c>
      <c r="L414" s="13" t="s">
        <v>97</v>
      </c>
      <c r="M414" s="53" t="s">
        <v>952</v>
      </c>
      <c r="N414" s="9" t="s">
        <v>1088</v>
      </c>
      <c r="O414" s="70"/>
      <c r="P414" s="13"/>
      <c r="Q414" s="10"/>
      <c r="R414" s="10"/>
      <c r="S414" s="10"/>
      <c r="T414" s="13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 t="s">
        <v>100</v>
      </c>
      <c r="AL414" s="10"/>
      <c r="AM414" s="9">
        <v>46</v>
      </c>
      <c r="AN414" s="10" t="s">
        <v>179</v>
      </c>
      <c r="AO414" s="72"/>
      <c r="AP414" s="72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</row>
    <row r="415" spans="1:57" x14ac:dyDescent="0.25">
      <c r="A415" s="9">
        <v>409</v>
      </c>
      <c r="B415" s="48" t="s">
        <v>950</v>
      </c>
      <c r="C415" s="49" t="s">
        <v>1089</v>
      </c>
      <c r="D415" s="6" t="s">
        <v>69</v>
      </c>
      <c r="E415" s="50" t="s">
        <v>72</v>
      </c>
      <c r="F415" s="51" t="s">
        <v>87</v>
      </c>
      <c r="G415" s="10"/>
      <c r="H415" s="9" t="s">
        <v>292</v>
      </c>
      <c r="I415" s="9" t="s">
        <v>74</v>
      </c>
      <c r="J415" s="9">
        <v>21</v>
      </c>
      <c r="K415" s="10" t="s">
        <v>96</v>
      </c>
      <c r="L415" s="13" t="s">
        <v>97</v>
      </c>
      <c r="M415" s="53" t="s">
        <v>952</v>
      </c>
      <c r="N415" s="9" t="s">
        <v>1090</v>
      </c>
      <c r="O415" s="70"/>
      <c r="P415" s="13"/>
      <c r="Q415" s="10"/>
      <c r="R415" s="10"/>
      <c r="S415" s="10"/>
      <c r="T415" s="13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 t="s">
        <v>100</v>
      </c>
      <c r="AL415" s="10"/>
      <c r="AM415" s="9" t="s">
        <v>1091</v>
      </c>
      <c r="AN415" s="10" t="s">
        <v>179</v>
      </c>
      <c r="AO415" s="72"/>
      <c r="AP415" s="72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</row>
    <row r="416" spans="1:57" s="47" customFormat="1" x14ac:dyDescent="0.25">
      <c r="A416" s="41">
        <v>410</v>
      </c>
      <c r="B416" s="42" t="s">
        <v>950</v>
      </c>
      <c r="C416" s="43" t="s">
        <v>1092</v>
      </c>
      <c r="D416" s="44" t="s">
        <v>69</v>
      </c>
      <c r="E416" s="45" t="s">
        <v>70</v>
      </c>
      <c r="F416" s="44" t="s">
        <v>70</v>
      </c>
      <c r="G416" s="44" t="s">
        <v>70</v>
      </c>
      <c r="H416" s="44" t="s">
        <v>70</v>
      </c>
      <c r="I416" s="44" t="s">
        <v>70</v>
      </c>
      <c r="J416" s="44" t="s">
        <v>70</v>
      </c>
      <c r="K416" s="44" t="s">
        <v>70</v>
      </c>
      <c r="L416" s="44" t="s">
        <v>70</v>
      </c>
      <c r="M416" s="45" t="s">
        <v>70</v>
      </c>
      <c r="N416" s="44" t="s">
        <v>70</v>
      </c>
      <c r="O416" s="67"/>
      <c r="P416" s="46"/>
      <c r="Q416" s="41"/>
      <c r="R416" s="41"/>
      <c r="S416" s="41"/>
      <c r="T416" s="46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72"/>
      <c r="AP416" s="72"/>
      <c r="AQ416" s="41"/>
      <c r="AR416" s="41"/>
      <c r="AS416" s="41"/>
      <c r="AT416" s="41"/>
      <c r="AU416" s="41"/>
      <c r="AV416" s="41"/>
      <c r="AW416" s="41"/>
      <c r="AX416" s="41"/>
      <c r="AY416" s="10"/>
      <c r="AZ416" s="41"/>
      <c r="BA416" s="41"/>
      <c r="BB416" s="41"/>
      <c r="BC416" s="41"/>
      <c r="BD416" s="41"/>
      <c r="BE416" s="41"/>
    </row>
    <row r="417" spans="1:57" x14ac:dyDescent="0.25">
      <c r="A417" s="9">
        <v>411</v>
      </c>
      <c r="B417" s="48" t="s">
        <v>950</v>
      </c>
      <c r="C417" s="49" t="s">
        <v>1093</v>
      </c>
      <c r="D417" s="6" t="s">
        <v>69</v>
      </c>
      <c r="E417" s="50" t="s">
        <v>72</v>
      </c>
      <c r="F417" s="51" t="s">
        <v>87</v>
      </c>
      <c r="G417" s="10"/>
      <c r="H417" s="9" t="s">
        <v>444</v>
      </c>
      <c r="I417" s="9" t="s">
        <v>74</v>
      </c>
      <c r="J417" s="9">
        <v>19</v>
      </c>
      <c r="K417" s="10" t="s">
        <v>96</v>
      </c>
      <c r="L417" s="13" t="s">
        <v>97</v>
      </c>
      <c r="M417" s="53" t="s">
        <v>193</v>
      </c>
      <c r="N417" s="9" t="s">
        <v>1094</v>
      </c>
      <c r="O417" s="70"/>
      <c r="P417" s="13"/>
      <c r="Q417" s="10"/>
      <c r="R417" s="10"/>
      <c r="S417" s="10"/>
      <c r="T417" s="13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 t="s">
        <v>100</v>
      </c>
      <c r="AL417" s="10"/>
      <c r="AM417" s="9" t="s">
        <v>1095</v>
      </c>
      <c r="AN417" s="10" t="s">
        <v>296</v>
      </c>
      <c r="AO417" s="72">
        <v>46280</v>
      </c>
      <c r="AP417" s="72">
        <v>46280</v>
      </c>
      <c r="AQ417" s="10">
        <v>47</v>
      </c>
      <c r="AR417" s="10" t="s">
        <v>103</v>
      </c>
      <c r="AS417" s="2" t="s">
        <v>1096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</row>
    <row r="418" spans="1:57" s="47" customFormat="1" x14ac:dyDescent="0.25">
      <c r="A418" s="41">
        <v>412</v>
      </c>
      <c r="B418" s="42" t="s">
        <v>950</v>
      </c>
      <c r="C418" s="43" t="s">
        <v>1097</v>
      </c>
      <c r="D418" s="44" t="s">
        <v>69</v>
      </c>
      <c r="E418" s="45" t="s">
        <v>70</v>
      </c>
      <c r="F418" s="44" t="s">
        <v>70</v>
      </c>
      <c r="G418" s="44" t="s">
        <v>70</v>
      </c>
      <c r="H418" s="44" t="s">
        <v>70</v>
      </c>
      <c r="I418" s="44" t="s">
        <v>70</v>
      </c>
      <c r="J418" s="44" t="s">
        <v>70</v>
      </c>
      <c r="K418" s="44" t="s">
        <v>70</v>
      </c>
      <c r="L418" s="44" t="s">
        <v>70</v>
      </c>
      <c r="M418" s="45" t="s">
        <v>70</v>
      </c>
      <c r="N418" s="44" t="s">
        <v>70</v>
      </c>
      <c r="O418" s="67"/>
      <c r="P418" s="46"/>
      <c r="Q418" s="41"/>
      <c r="R418" s="41"/>
      <c r="S418" s="41"/>
      <c r="T418" s="46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72"/>
      <c r="AP418" s="72"/>
      <c r="AQ418" s="41"/>
      <c r="AR418" s="41"/>
      <c r="AS418" s="41"/>
      <c r="AT418" s="41"/>
      <c r="AU418" s="41"/>
      <c r="AV418" s="41"/>
      <c r="AW418" s="41"/>
      <c r="AX418" s="41"/>
      <c r="AY418" s="10"/>
      <c r="AZ418" s="41"/>
      <c r="BA418" s="41"/>
      <c r="BB418" s="41"/>
      <c r="BC418" s="41"/>
      <c r="BD418" s="41"/>
      <c r="BE418" s="41"/>
    </row>
    <row r="419" spans="1:57" s="47" customFormat="1" x14ac:dyDescent="0.25">
      <c r="A419" s="41">
        <v>413</v>
      </c>
      <c r="B419" s="42" t="s">
        <v>950</v>
      </c>
      <c r="C419" s="43" t="s">
        <v>1098</v>
      </c>
      <c r="D419" s="44" t="s">
        <v>69</v>
      </c>
      <c r="E419" s="45" t="s">
        <v>70</v>
      </c>
      <c r="F419" s="44" t="s">
        <v>70</v>
      </c>
      <c r="G419" s="44" t="s">
        <v>70</v>
      </c>
      <c r="H419" s="44" t="s">
        <v>70</v>
      </c>
      <c r="I419" s="44" t="s">
        <v>70</v>
      </c>
      <c r="J419" s="44" t="s">
        <v>70</v>
      </c>
      <c r="K419" s="44" t="s">
        <v>70</v>
      </c>
      <c r="L419" s="44" t="s">
        <v>70</v>
      </c>
      <c r="M419" s="45" t="s">
        <v>70</v>
      </c>
      <c r="N419" s="44" t="s">
        <v>70</v>
      </c>
      <c r="O419" s="67"/>
      <c r="P419" s="46"/>
      <c r="Q419" s="41"/>
      <c r="R419" s="41"/>
      <c r="S419" s="41"/>
      <c r="T419" s="46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72"/>
      <c r="AP419" s="72"/>
      <c r="AQ419" s="41"/>
      <c r="AR419" s="41"/>
      <c r="AS419" s="41"/>
      <c r="AT419" s="41"/>
      <c r="AU419" s="41"/>
      <c r="AV419" s="41"/>
      <c r="AW419" s="41"/>
      <c r="AX419" s="41"/>
      <c r="AY419" s="10"/>
      <c r="AZ419" s="41"/>
      <c r="BA419" s="41"/>
      <c r="BB419" s="41"/>
      <c r="BC419" s="41"/>
      <c r="BD419" s="41"/>
      <c r="BE419" s="41"/>
    </row>
    <row r="420" spans="1:57" s="47" customFormat="1" x14ac:dyDescent="0.25">
      <c r="A420" s="41">
        <v>414</v>
      </c>
      <c r="B420" s="42" t="s">
        <v>950</v>
      </c>
      <c r="C420" s="43" t="s">
        <v>1099</v>
      </c>
      <c r="D420" s="44" t="s">
        <v>69</v>
      </c>
      <c r="E420" s="45" t="s">
        <v>70</v>
      </c>
      <c r="F420" s="44" t="s">
        <v>70</v>
      </c>
      <c r="G420" s="44" t="s">
        <v>70</v>
      </c>
      <c r="H420" s="44" t="s">
        <v>70</v>
      </c>
      <c r="I420" s="44" t="s">
        <v>70</v>
      </c>
      <c r="J420" s="44" t="s">
        <v>70</v>
      </c>
      <c r="K420" s="44" t="s">
        <v>70</v>
      </c>
      <c r="L420" s="44" t="s">
        <v>70</v>
      </c>
      <c r="M420" s="45" t="s">
        <v>70</v>
      </c>
      <c r="N420" s="44" t="s">
        <v>70</v>
      </c>
      <c r="O420" s="67"/>
      <c r="P420" s="46"/>
      <c r="Q420" s="41"/>
      <c r="R420" s="41"/>
      <c r="S420" s="41"/>
      <c r="T420" s="46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72"/>
      <c r="AP420" s="72"/>
      <c r="AQ420" s="41"/>
      <c r="AR420" s="41"/>
      <c r="AS420" s="41"/>
      <c r="AT420" s="41"/>
      <c r="AU420" s="41"/>
      <c r="AV420" s="41"/>
      <c r="AW420" s="41"/>
      <c r="AX420" s="41"/>
      <c r="AY420" s="10"/>
      <c r="AZ420" s="41"/>
      <c r="BA420" s="41"/>
      <c r="BB420" s="41"/>
      <c r="BC420" s="41"/>
      <c r="BD420" s="41"/>
      <c r="BE420" s="41"/>
    </row>
    <row r="421" spans="1:57" x14ac:dyDescent="0.25">
      <c r="A421" s="9">
        <v>415</v>
      </c>
      <c r="B421" s="48" t="s">
        <v>950</v>
      </c>
      <c r="C421" s="49" t="s">
        <v>1100</v>
      </c>
      <c r="D421" s="6" t="s">
        <v>69</v>
      </c>
      <c r="E421" s="50" t="s">
        <v>72</v>
      </c>
      <c r="F421" s="51" t="s">
        <v>87</v>
      </c>
      <c r="G421" s="10"/>
      <c r="H421" s="9" t="s">
        <v>88</v>
      </c>
      <c r="I421" s="9" t="s">
        <v>151</v>
      </c>
      <c r="J421" s="10">
        <v>94</v>
      </c>
      <c r="K421" s="10" t="s">
        <v>89</v>
      </c>
      <c r="L421" s="13" t="s">
        <v>76</v>
      </c>
      <c r="M421" s="53" t="s">
        <v>952</v>
      </c>
      <c r="N421" s="9" t="s">
        <v>1101</v>
      </c>
      <c r="O421" s="70"/>
      <c r="P421" s="13"/>
      <c r="Q421" s="10"/>
      <c r="R421" s="10"/>
      <c r="S421" s="10"/>
      <c r="T421" s="13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72"/>
      <c r="AP421" s="72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</row>
    <row r="422" spans="1:57" x14ac:dyDescent="0.25">
      <c r="A422" s="9">
        <v>416</v>
      </c>
      <c r="B422" s="48" t="s">
        <v>950</v>
      </c>
      <c r="C422" s="49" t="s">
        <v>1102</v>
      </c>
      <c r="D422" s="6" t="s">
        <v>69</v>
      </c>
      <c r="E422" s="50" t="s">
        <v>72</v>
      </c>
      <c r="F422" s="51" t="s">
        <v>87</v>
      </c>
      <c r="G422" s="10"/>
      <c r="H422" s="9" t="s">
        <v>88</v>
      </c>
      <c r="I422" s="9">
        <v>9953391</v>
      </c>
      <c r="J422" s="9">
        <v>34</v>
      </c>
      <c r="K422" s="10" t="s">
        <v>89</v>
      </c>
      <c r="L422" s="13" t="s">
        <v>76</v>
      </c>
      <c r="M422" s="53" t="s">
        <v>1103</v>
      </c>
      <c r="N422" s="9" t="s">
        <v>1103</v>
      </c>
      <c r="O422" s="70"/>
      <c r="P422" s="13"/>
      <c r="Q422" s="10"/>
      <c r="R422" s="10"/>
      <c r="S422" s="10"/>
      <c r="T422" s="13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72"/>
      <c r="AP422" s="72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</row>
    <row r="423" spans="1:57" s="47" customFormat="1" x14ac:dyDescent="0.25">
      <c r="A423" s="41">
        <v>417</v>
      </c>
      <c r="B423" s="42" t="s">
        <v>950</v>
      </c>
      <c r="C423" s="43" t="s">
        <v>1104</v>
      </c>
      <c r="D423" s="44" t="s">
        <v>69</v>
      </c>
      <c r="E423" s="45" t="s">
        <v>70</v>
      </c>
      <c r="F423" s="44" t="s">
        <v>70</v>
      </c>
      <c r="G423" s="44" t="s">
        <v>70</v>
      </c>
      <c r="H423" s="44" t="s">
        <v>70</v>
      </c>
      <c r="I423" s="44" t="s">
        <v>70</v>
      </c>
      <c r="J423" s="44" t="s">
        <v>70</v>
      </c>
      <c r="K423" s="44" t="s">
        <v>70</v>
      </c>
      <c r="L423" s="44" t="s">
        <v>70</v>
      </c>
      <c r="M423" s="45" t="s">
        <v>70</v>
      </c>
      <c r="N423" s="44" t="s">
        <v>70</v>
      </c>
      <c r="O423" s="67"/>
      <c r="P423" s="46"/>
      <c r="Q423" s="41"/>
      <c r="R423" s="41"/>
      <c r="S423" s="41"/>
      <c r="T423" s="46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72"/>
      <c r="AP423" s="72"/>
      <c r="AQ423" s="41"/>
      <c r="AR423" s="41"/>
      <c r="AS423" s="41"/>
      <c r="AT423" s="41"/>
      <c r="AU423" s="41"/>
      <c r="AV423" s="41"/>
      <c r="AW423" s="41"/>
      <c r="AX423" s="41"/>
      <c r="AY423" s="10"/>
      <c r="AZ423" s="41"/>
      <c r="BA423" s="41"/>
      <c r="BB423" s="41"/>
      <c r="BC423" s="41"/>
      <c r="BD423" s="41"/>
      <c r="BE423" s="41"/>
    </row>
    <row r="424" spans="1:57" x14ac:dyDescent="0.25">
      <c r="A424" s="9">
        <v>418</v>
      </c>
      <c r="B424" s="48" t="s">
        <v>950</v>
      </c>
      <c r="C424" s="49" t="s">
        <v>1105</v>
      </c>
      <c r="D424" s="6" t="s">
        <v>69</v>
      </c>
      <c r="E424" s="50" t="s">
        <v>72</v>
      </c>
      <c r="F424" s="51" t="s">
        <v>87</v>
      </c>
      <c r="G424" s="10"/>
      <c r="H424" s="9" t="s">
        <v>88</v>
      </c>
      <c r="I424" s="9" t="s">
        <v>151</v>
      </c>
      <c r="J424" s="10">
        <v>99</v>
      </c>
      <c r="K424" s="10" t="s">
        <v>89</v>
      </c>
      <c r="L424" s="13" t="s">
        <v>76</v>
      </c>
      <c r="M424" s="53" t="s">
        <v>952</v>
      </c>
      <c r="N424" s="9" t="s">
        <v>1106</v>
      </c>
      <c r="O424" s="70"/>
      <c r="P424" s="13"/>
      <c r="Q424" s="10"/>
      <c r="R424" s="10"/>
      <c r="S424" s="10"/>
      <c r="T424" s="13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72"/>
      <c r="AP424" s="72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</row>
    <row r="425" spans="1:57" x14ac:dyDescent="0.25">
      <c r="A425" s="9">
        <v>419</v>
      </c>
      <c r="B425" s="48" t="s">
        <v>1107</v>
      </c>
      <c r="C425" s="49" t="s">
        <v>1108</v>
      </c>
      <c r="D425" s="6" t="s">
        <v>69</v>
      </c>
      <c r="E425" s="50" t="s">
        <v>72</v>
      </c>
      <c r="F425" s="51" t="s">
        <v>87</v>
      </c>
      <c r="G425" s="10"/>
      <c r="H425" t="s">
        <v>292</v>
      </c>
      <c r="I425" s="9" t="s">
        <v>74</v>
      </c>
      <c r="J425" s="9">
        <v>19</v>
      </c>
      <c r="K425" s="10" t="s">
        <v>96</v>
      </c>
      <c r="L425" s="13" t="s">
        <v>97</v>
      </c>
      <c r="M425" s="53" t="s">
        <v>436</v>
      </c>
      <c r="N425" s="9" t="s">
        <v>1109</v>
      </c>
      <c r="O425" s="70"/>
      <c r="P425" s="13"/>
      <c r="Q425" s="10"/>
      <c r="R425" s="10"/>
      <c r="S425" s="10"/>
      <c r="T425" s="13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 t="s">
        <v>100</v>
      </c>
      <c r="AL425" s="10"/>
      <c r="AM425" s="9" t="s">
        <v>1110</v>
      </c>
      <c r="AN425" s="10"/>
      <c r="AO425" s="72"/>
      <c r="AP425" s="72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</row>
    <row r="426" spans="1:57" x14ac:dyDescent="0.25">
      <c r="A426" s="9">
        <v>420</v>
      </c>
      <c r="B426" s="48" t="s">
        <v>1107</v>
      </c>
      <c r="C426" s="49" t="s">
        <v>1111</v>
      </c>
      <c r="D426" s="6" t="s">
        <v>69</v>
      </c>
      <c r="E426" s="50" t="s">
        <v>72</v>
      </c>
      <c r="F426" s="51" t="s">
        <v>87</v>
      </c>
      <c r="G426" s="10"/>
      <c r="H426" s="9" t="s">
        <v>74</v>
      </c>
      <c r="I426" s="9" t="s">
        <v>74</v>
      </c>
      <c r="J426" s="9">
        <v>40</v>
      </c>
      <c r="K426" s="9" t="s">
        <v>89</v>
      </c>
      <c r="L426" s="9" t="s">
        <v>76</v>
      </c>
      <c r="M426" s="53" t="s">
        <v>436</v>
      </c>
      <c r="N426" s="9" t="s">
        <v>1109</v>
      </c>
      <c r="O426" s="70"/>
      <c r="P426" s="13"/>
      <c r="Q426" s="10"/>
      <c r="R426" s="10"/>
      <c r="S426" s="10"/>
      <c r="T426" s="13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72"/>
      <c r="AP426" s="72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</row>
    <row r="427" spans="1:57" x14ac:dyDescent="0.25">
      <c r="A427" s="9">
        <v>421</v>
      </c>
      <c r="B427" s="48" t="s">
        <v>1112</v>
      </c>
      <c r="C427" s="49" t="s">
        <v>1113</v>
      </c>
      <c r="D427" s="6" t="s">
        <v>69</v>
      </c>
      <c r="E427" s="50" t="s">
        <v>72</v>
      </c>
      <c r="F427" s="51" t="s">
        <v>87</v>
      </c>
      <c r="G427" s="10"/>
      <c r="H427" s="9" t="s">
        <v>74</v>
      </c>
      <c r="I427" s="9" t="s">
        <v>74</v>
      </c>
      <c r="J427" s="9">
        <v>292</v>
      </c>
      <c r="K427" s="10" t="s">
        <v>96</v>
      </c>
      <c r="L427" s="13" t="s">
        <v>97</v>
      </c>
      <c r="M427" s="53" t="s">
        <v>436</v>
      </c>
      <c r="N427" s="9" t="s">
        <v>1114</v>
      </c>
      <c r="O427" s="70"/>
      <c r="P427" s="13"/>
      <c r="Q427" s="10"/>
      <c r="R427" s="10"/>
      <c r="S427" s="10"/>
      <c r="T427" s="13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 t="s">
        <v>100</v>
      </c>
      <c r="AL427" s="10"/>
      <c r="AM427" s="9" t="s">
        <v>1115</v>
      </c>
      <c r="AN427" s="10"/>
      <c r="AO427" s="72"/>
      <c r="AP427" s="72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</row>
    <row r="428" spans="1:57" x14ac:dyDescent="0.25">
      <c r="A428" s="9">
        <v>422</v>
      </c>
      <c r="B428" s="48" t="s">
        <v>1112</v>
      </c>
      <c r="C428" s="49" t="s">
        <v>1116</v>
      </c>
      <c r="D428" s="6" t="s">
        <v>69</v>
      </c>
      <c r="E428" s="50" t="s">
        <v>72</v>
      </c>
      <c r="F428" s="51" t="s">
        <v>87</v>
      </c>
      <c r="G428" s="10"/>
      <c r="H428" s="9" t="s">
        <v>74</v>
      </c>
      <c r="I428" s="9" t="s">
        <v>74</v>
      </c>
      <c r="J428" s="9">
        <v>79</v>
      </c>
      <c r="K428" s="10" t="s">
        <v>96</v>
      </c>
      <c r="L428" s="13" t="s">
        <v>97</v>
      </c>
      <c r="M428" s="53" t="s">
        <v>436</v>
      </c>
      <c r="N428" s="9" t="s">
        <v>1117</v>
      </c>
      <c r="O428" s="70"/>
      <c r="P428" s="13"/>
      <c r="Q428" s="10"/>
      <c r="R428" s="10"/>
      <c r="S428" s="10"/>
      <c r="T428" s="13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 t="s">
        <v>100</v>
      </c>
      <c r="AL428" s="10"/>
      <c r="AM428" s="9" t="s">
        <v>1118</v>
      </c>
      <c r="AN428" s="10"/>
      <c r="AO428" s="72"/>
      <c r="AP428" s="72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</row>
    <row r="429" spans="1:57" x14ac:dyDescent="0.25">
      <c r="A429" s="9">
        <v>423</v>
      </c>
      <c r="B429" s="48" t="s">
        <v>1112</v>
      </c>
      <c r="C429" s="49" t="s">
        <v>1119</v>
      </c>
      <c r="D429" s="6" t="s">
        <v>69</v>
      </c>
      <c r="E429" s="50" t="s">
        <v>72</v>
      </c>
      <c r="F429" s="51" t="s">
        <v>87</v>
      </c>
      <c r="G429" s="10"/>
      <c r="H429" s="9" t="s">
        <v>74</v>
      </c>
      <c r="I429" s="9" t="s">
        <v>74</v>
      </c>
      <c r="J429" s="9">
        <v>35</v>
      </c>
      <c r="K429" s="9" t="s">
        <v>89</v>
      </c>
      <c r="L429" s="9" t="s">
        <v>76</v>
      </c>
      <c r="M429" s="53" t="s">
        <v>436</v>
      </c>
      <c r="N429" s="9" t="s">
        <v>1120</v>
      </c>
      <c r="O429" s="70"/>
      <c r="P429" s="13"/>
      <c r="Q429" s="10"/>
      <c r="R429" s="10"/>
      <c r="S429" s="10"/>
      <c r="T429" s="13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72"/>
      <c r="AP429" s="72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</row>
    <row r="430" spans="1:57" x14ac:dyDescent="0.25">
      <c r="A430" s="9">
        <v>424</v>
      </c>
      <c r="B430" s="48" t="s">
        <v>1112</v>
      </c>
      <c r="C430" s="49" t="s">
        <v>1121</v>
      </c>
      <c r="D430" s="6" t="s">
        <v>69</v>
      </c>
      <c r="E430" s="50" t="s">
        <v>72</v>
      </c>
      <c r="F430" s="51" t="s">
        <v>87</v>
      </c>
      <c r="G430" s="10"/>
      <c r="H430" s="9" t="s">
        <v>74</v>
      </c>
      <c r="I430" s="9" t="s">
        <v>74</v>
      </c>
      <c r="J430" s="9">
        <v>273</v>
      </c>
      <c r="K430" s="10" t="s">
        <v>96</v>
      </c>
      <c r="L430" s="13" t="s">
        <v>97</v>
      </c>
      <c r="M430" s="53" t="s">
        <v>436</v>
      </c>
      <c r="N430" s="9" t="s">
        <v>1120</v>
      </c>
      <c r="O430" s="70"/>
      <c r="P430" s="13"/>
      <c r="Q430" s="10"/>
      <c r="R430" s="10"/>
      <c r="S430" s="10"/>
      <c r="T430" s="13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 t="s">
        <v>100</v>
      </c>
      <c r="AL430" s="10"/>
      <c r="AM430" s="9" t="s">
        <v>1122</v>
      </c>
      <c r="AN430" s="10"/>
      <c r="AO430" s="72"/>
      <c r="AP430" s="72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</row>
    <row r="431" spans="1:57" x14ac:dyDescent="0.25">
      <c r="A431" s="9">
        <v>425</v>
      </c>
      <c r="B431" s="48" t="s">
        <v>1112</v>
      </c>
      <c r="C431" s="49" t="s">
        <v>1123</v>
      </c>
      <c r="D431" s="6" t="s">
        <v>69</v>
      </c>
      <c r="E431" s="50" t="s">
        <v>72</v>
      </c>
      <c r="F431" s="51" t="s">
        <v>87</v>
      </c>
      <c r="G431" s="10"/>
      <c r="H431" t="s">
        <v>292</v>
      </c>
      <c r="I431" s="9" t="s">
        <v>74</v>
      </c>
      <c r="J431" s="9">
        <v>89</v>
      </c>
      <c r="K431" s="10" t="s">
        <v>96</v>
      </c>
      <c r="L431" s="13" t="s">
        <v>97</v>
      </c>
      <c r="M431" s="53" t="s">
        <v>436</v>
      </c>
      <c r="N431" s="9" t="s">
        <v>1124</v>
      </c>
      <c r="O431" s="70"/>
      <c r="P431" s="13"/>
      <c r="Q431" s="10"/>
      <c r="R431" s="10"/>
      <c r="S431" s="10"/>
      <c r="T431" s="13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 t="s">
        <v>100</v>
      </c>
      <c r="AL431" s="10"/>
      <c r="AM431" s="73" t="s">
        <v>1125</v>
      </c>
      <c r="AN431" s="10"/>
      <c r="AO431" s="72"/>
      <c r="AP431" s="72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</row>
    <row r="432" spans="1:57" x14ac:dyDescent="0.25">
      <c r="A432" s="9">
        <v>426</v>
      </c>
      <c r="B432" s="48" t="s">
        <v>1126</v>
      </c>
      <c r="C432" s="49" t="s">
        <v>1127</v>
      </c>
      <c r="D432" s="6" t="s">
        <v>69</v>
      </c>
      <c r="E432" s="50" t="s">
        <v>72</v>
      </c>
      <c r="F432" s="51" t="s">
        <v>87</v>
      </c>
      <c r="G432" s="10"/>
      <c r="H432" s="9" t="s">
        <v>74</v>
      </c>
      <c r="I432" s="9" t="s">
        <v>74</v>
      </c>
      <c r="J432" s="9">
        <v>144</v>
      </c>
      <c r="K432" s="10" t="s">
        <v>96</v>
      </c>
      <c r="L432" s="13" t="s">
        <v>97</v>
      </c>
      <c r="M432" s="53" t="s">
        <v>436</v>
      </c>
      <c r="N432" s="9" t="s">
        <v>1128</v>
      </c>
      <c r="O432" s="70"/>
      <c r="P432" s="13"/>
      <c r="Q432" s="10"/>
      <c r="R432" s="10"/>
      <c r="S432" s="10"/>
      <c r="T432" s="13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 t="s">
        <v>100</v>
      </c>
      <c r="AL432" s="10"/>
      <c r="AM432" s="9" t="s">
        <v>1129</v>
      </c>
      <c r="AN432" s="10"/>
      <c r="AO432" s="72"/>
      <c r="AP432" s="72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</row>
    <row r="433" spans="1:57" x14ac:dyDescent="0.25">
      <c r="A433" s="9">
        <v>427</v>
      </c>
      <c r="B433" s="48" t="s">
        <v>1126</v>
      </c>
      <c r="C433" s="49" t="s">
        <v>1130</v>
      </c>
      <c r="D433" s="6" t="s">
        <v>69</v>
      </c>
      <c r="E433" s="50" t="s">
        <v>72</v>
      </c>
      <c r="F433" s="51" t="s">
        <v>87</v>
      </c>
      <c r="G433" s="10"/>
      <c r="H433" s="9" t="s">
        <v>74</v>
      </c>
      <c r="I433" s="9" t="s">
        <v>74</v>
      </c>
      <c r="J433" s="9">
        <v>394</v>
      </c>
      <c r="K433" s="10" t="s">
        <v>96</v>
      </c>
      <c r="L433" s="13" t="s">
        <v>97</v>
      </c>
      <c r="M433" s="53" t="s">
        <v>436</v>
      </c>
      <c r="N433" s="9" t="s">
        <v>1131</v>
      </c>
      <c r="O433" s="70"/>
      <c r="P433" s="13"/>
      <c r="Q433" s="10"/>
      <c r="R433" s="10"/>
      <c r="S433" s="10"/>
      <c r="T433" s="13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 t="s">
        <v>100</v>
      </c>
      <c r="AL433" s="10"/>
      <c r="AM433" s="9" t="s">
        <v>1132</v>
      </c>
      <c r="AN433" s="10"/>
      <c r="AO433" s="72"/>
      <c r="AP433" s="72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</row>
    <row r="434" spans="1:57" x14ac:dyDescent="0.25">
      <c r="A434" s="9">
        <v>428</v>
      </c>
      <c r="B434" s="48" t="s">
        <v>1126</v>
      </c>
      <c r="C434" s="49" t="s">
        <v>1133</v>
      </c>
      <c r="D434" s="6" t="s">
        <v>69</v>
      </c>
      <c r="E434" s="50" t="s">
        <v>72</v>
      </c>
      <c r="F434" s="51" t="s">
        <v>87</v>
      </c>
      <c r="G434" s="10"/>
      <c r="H434" s="9" t="s">
        <v>74</v>
      </c>
      <c r="I434" s="9" t="s">
        <v>74</v>
      </c>
      <c r="J434" s="9">
        <v>222</v>
      </c>
      <c r="K434" s="9" t="s">
        <v>89</v>
      </c>
      <c r="L434" s="9" t="s">
        <v>76</v>
      </c>
      <c r="M434" s="53" t="s">
        <v>436</v>
      </c>
      <c r="N434" s="9" t="s">
        <v>1134</v>
      </c>
      <c r="O434" s="70"/>
      <c r="P434" s="13"/>
      <c r="Q434" s="10"/>
      <c r="R434" s="10"/>
      <c r="S434" s="10"/>
      <c r="T434" s="13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72"/>
      <c r="AP434" s="72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</row>
    <row r="435" spans="1:57" x14ac:dyDescent="0.25">
      <c r="A435" s="9">
        <v>429</v>
      </c>
      <c r="B435" s="48" t="s">
        <v>1126</v>
      </c>
      <c r="C435" s="49" t="s">
        <v>1135</v>
      </c>
      <c r="D435" s="6" t="s">
        <v>69</v>
      </c>
      <c r="E435" s="50" t="s">
        <v>72</v>
      </c>
      <c r="F435" s="51" t="s">
        <v>87</v>
      </c>
      <c r="G435" s="10"/>
      <c r="H435" s="9" t="s">
        <v>74</v>
      </c>
      <c r="I435" s="9" t="s">
        <v>74</v>
      </c>
      <c r="J435" s="9">
        <v>90</v>
      </c>
      <c r="K435" s="9" t="s">
        <v>89</v>
      </c>
      <c r="L435" s="9" t="s">
        <v>76</v>
      </c>
      <c r="M435" s="53" t="s">
        <v>436</v>
      </c>
      <c r="N435" s="9" t="s">
        <v>1134</v>
      </c>
      <c r="O435" s="70"/>
      <c r="P435" s="13"/>
      <c r="Q435" s="10"/>
      <c r="R435" s="10"/>
      <c r="S435" s="10"/>
      <c r="T435" s="13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72"/>
      <c r="AP435" s="72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</row>
    <row r="436" spans="1:57" x14ac:dyDescent="0.25">
      <c r="A436" s="9">
        <v>430</v>
      </c>
      <c r="B436" s="48" t="s">
        <v>1126</v>
      </c>
      <c r="C436" s="49" t="s">
        <v>1136</v>
      </c>
      <c r="D436" s="6" t="s">
        <v>69</v>
      </c>
      <c r="E436" s="50" t="s">
        <v>72</v>
      </c>
      <c r="F436" s="51" t="s">
        <v>87</v>
      </c>
      <c r="G436" s="10"/>
      <c r="H436" s="9" t="s">
        <v>74</v>
      </c>
      <c r="I436" s="9" t="s">
        <v>74</v>
      </c>
      <c r="J436" s="9">
        <v>56</v>
      </c>
      <c r="K436" s="9" t="s">
        <v>89</v>
      </c>
      <c r="L436" s="9" t="s">
        <v>76</v>
      </c>
      <c r="M436" s="53" t="s">
        <v>436</v>
      </c>
      <c r="N436" s="9" t="s">
        <v>1134</v>
      </c>
      <c r="O436" s="70"/>
      <c r="P436" s="13"/>
      <c r="Q436" s="10"/>
      <c r="R436" s="10"/>
      <c r="S436" s="10"/>
      <c r="T436" s="13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72"/>
      <c r="AP436" s="72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</row>
    <row r="437" spans="1:57" x14ac:dyDescent="0.25">
      <c r="A437" s="9">
        <v>431</v>
      </c>
      <c r="B437" s="48" t="s">
        <v>1126</v>
      </c>
      <c r="C437" s="49" t="s">
        <v>1137</v>
      </c>
      <c r="D437" s="6" t="s">
        <v>69</v>
      </c>
      <c r="E437" s="50" t="s">
        <v>72</v>
      </c>
      <c r="F437" s="51" t="s">
        <v>87</v>
      </c>
      <c r="G437" s="10"/>
      <c r="H437" s="9" t="s">
        <v>74</v>
      </c>
      <c r="I437" s="9" t="s">
        <v>74</v>
      </c>
      <c r="J437" s="9">
        <v>294</v>
      </c>
      <c r="K437" s="10" t="s">
        <v>96</v>
      </c>
      <c r="L437" s="13" t="s">
        <v>97</v>
      </c>
      <c r="M437" s="53" t="s">
        <v>436</v>
      </c>
      <c r="N437" s="9" t="s">
        <v>1134</v>
      </c>
      <c r="O437" s="70"/>
      <c r="P437" s="13"/>
      <c r="Q437" s="10"/>
      <c r="R437" s="10"/>
      <c r="S437" s="10"/>
      <c r="T437" s="13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 t="s">
        <v>100</v>
      </c>
      <c r="AL437" s="10"/>
      <c r="AM437" s="9" t="s">
        <v>1138</v>
      </c>
      <c r="AN437" s="10"/>
      <c r="AO437" s="72"/>
      <c r="AP437" s="72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</row>
    <row r="438" spans="1:57" x14ac:dyDescent="0.25">
      <c r="A438" s="9">
        <v>432</v>
      </c>
      <c r="B438" s="48" t="s">
        <v>1126</v>
      </c>
      <c r="C438" s="49" t="s">
        <v>1139</v>
      </c>
      <c r="D438" s="6" t="s">
        <v>69</v>
      </c>
      <c r="E438" s="50" t="s">
        <v>72</v>
      </c>
      <c r="F438" s="51" t="s">
        <v>87</v>
      </c>
      <c r="G438" s="10"/>
      <c r="H438" s="9" t="s">
        <v>74</v>
      </c>
      <c r="I438" s="9" t="s">
        <v>74</v>
      </c>
      <c r="J438" s="9">
        <v>560</v>
      </c>
      <c r="K438" s="9" t="s">
        <v>89</v>
      </c>
      <c r="L438" s="9" t="s">
        <v>76</v>
      </c>
      <c r="M438" s="53" t="s">
        <v>436</v>
      </c>
      <c r="N438" s="9" t="s">
        <v>1134</v>
      </c>
      <c r="O438" s="70"/>
      <c r="P438" s="13"/>
      <c r="Q438" s="10"/>
      <c r="R438" s="10"/>
      <c r="S438" s="10"/>
      <c r="T438" s="13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72"/>
      <c r="AP438" s="72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</row>
    <row r="439" spans="1:57" x14ac:dyDescent="0.25">
      <c r="A439" s="9">
        <v>433</v>
      </c>
      <c r="B439" s="48" t="s">
        <v>1126</v>
      </c>
      <c r="C439" s="49" t="s">
        <v>1140</v>
      </c>
      <c r="D439" s="6" t="s">
        <v>69</v>
      </c>
      <c r="E439" s="50" t="s">
        <v>72</v>
      </c>
      <c r="F439" s="51" t="s">
        <v>87</v>
      </c>
      <c r="G439" s="10"/>
      <c r="H439" s="9" t="s">
        <v>74</v>
      </c>
      <c r="I439" s="9" t="s">
        <v>74</v>
      </c>
      <c r="J439" s="9">
        <v>394</v>
      </c>
      <c r="K439" s="10" t="s">
        <v>96</v>
      </c>
      <c r="L439" s="13" t="s">
        <v>97</v>
      </c>
      <c r="M439" s="53" t="s">
        <v>436</v>
      </c>
      <c r="N439" s="9" t="s">
        <v>1134</v>
      </c>
      <c r="O439" s="70"/>
      <c r="P439" s="13"/>
      <c r="Q439" s="10"/>
      <c r="R439" s="10"/>
      <c r="S439" s="10"/>
      <c r="T439" s="13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 t="s">
        <v>100</v>
      </c>
      <c r="AL439" s="10"/>
      <c r="AM439" s="9" t="s">
        <v>1141</v>
      </c>
      <c r="AN439" s="10"/>
      <c r="AO439" s="72"/>
      <c r="AP439" s="72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</row>
    <row r="440" spans="1:57" x14ac:dyDescent="0.25">
      <c r="A440" s="9">
        <v>434</v>
      </c>
      <c r="B440" s="48" t="s">
        <v>1126</v>
      </c>
      <c r="C440" s="49" t="s">
        <v>1142</v>
      </c>
      <c r="D440" s="6" t="s">
        <v>69</v>
      </c>
      <c r="E440" s="50" t="s">
        <v>72</v>
      </c>
      <c r="F440" s="51" t="s">
        <v>87</v>
      </c>
      <c r="G440" s="10"/>
      <c r="H440" s="9" t="s">
        <v>74</v>
      </c>
      <c r="I440" s="9" t="s">
        <v>74</v>
      </c>
      <c r="J440" s="9">
        <v>52</v>
      </c>
      <c r="K440" s="9" t="s">
        <v>89</v>
      </c>
      <c r="L440" s="9" t="s">
        <v>76</v>
      </c>
      <c r="M440" s="53" t="s">
        <v>436</v>
      </c>
      <c r="N440" s="9" t="s">
        <v>1134</v>
      </c>
      <c r="O440" s="70"/>
      <c r="P440" s="13"/>
      <c r="Q440" s="10"/>
      <c r="R440" s="10"/>
      <c r="S440" s="10"/>
      <c r="T440" s="13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72"/>
      <c r="AP440" s="72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</row>
    <row r="441" spans="1:57" x14ac:dyDescent="0.25">
      <c r="A441" s="9">
        <v>435</v>
      </c>
      <c r="B441" s="48" t="s">
        <v>1126</v>
      </c>
      <c r="C441" s="49" t="s">
        <v>1143</v>
      </c>
      <c r="D441" s="6" t="s">
        <v>69</v>
      </c>
      <c r="E441" s="50" t="s">
        <v>72</v>
      </c>
      <c r="F441" s="51" t="s">
        <v>87</v>
      </c>
      <c r="G441" s="10"/>
      <c r="H441" s="9" t="s">
        <v>74</v>
      </c>
      <c r="I441" s="9" t="s">
        <v>74</v>
      </c>
      <c r="J441" s="9">
        <v>100</v>
      </c>
      <c r="K441" s="10" t="s">
        <v>96</v>
      </c>
      <c r="L441" s="13" t="s">
        <v>97</v>
      </c>
      <c r="M441" s="53" t="s">
        <v>436</v>
      </c>
      <c r="N441" s="9" t="s">
        <v>1144</v>
      </c>
      <c r="O441" s="70"/>
      <c r="P441" s="13"/>
      <c r="Q441" s="10"/>
      <c r="R441" s="10"/>
      <c r="S441" s="10"/>
      <c r="T441" s="13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 t="s">
        <v>100</v>
      </c>
      <c r="AL441" s="10"/>
      <c r="AM441" s="9" t="s">
        <v>1145</v>
      </c>
      <c r="AN441" s="10"/>
      <c r="AO441" s="72"/>
      <c r="AP441" s="72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</row>
    <row r="442" spans="1:57" x14ac:dyDescent="0.25">
      <c r="A442" s="9">
        <v>436</v>
      </c>
      <c r="B442" s="48" t="s">
        <v>1126</v>
      </c>
      <c r="C442" s="49" t="s">
        <v>1146</v>
      </c>
      <c r="D442" s="6" t="s">
        <v>69</v>
      </c>
      <c r="E442" s="50" t="s">
        <v>72</v>
      </c>
      <c r="F442" s="51" t="s">
        <v>87</v>
      </c>
      <c r="G442" s="10"/>
      <c r="H442" s="9" t="s">
        <v>74</v>
      </c>
      <c r="I442" s="9" t="s">
        <v>74</v>
      </c>
      <c r="J442" s="9">
        <v>60</v>
      </c>
      <c r="K442" s="9" t="s">
        <v>89</v>
      </c>
      <c r="L442" s="9" t="s">
        <v>76</v>
      </c>
      <c r="M442" s="53" t="s">
        <v>436</v>
      </c>
      <c r="N442" s="9" t="s">
        <v>1147</v>
      </c>
      <c r="O442" s="70"/>
      <c r="P442" s="13"/>
      <c r="Q442" s="10"/>
      <c r="R442" s="10"/>
      <c r="S442" s="10"/>
      <c r="T442" s="13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72"/>
      <c r="AP442" s="72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</row>
    <row r="443" spans="1:57" x14ac:dyDescent="0.25">
      <c r="A443" s="9">
        <v>437</v>
      </c>
      <c r="B443" s="48" t="s">
        <v>1126</v>
      </c>
      <c r="C443" s="49" t="s">
        <v>1148</v>
      </c>
      <c r="D443" s="6" t="s">
        <v>69</v>
      </c>
      <c r="E443" s="50" t="s">
        <v>72</v>
      </c>
      <c r="F443" s="51" t="s">
        <v>87</v>
      </c>
      <c r="G443" s="10"/>
      <c r="H443" s="9" t="s">
        <v>74</v>
      </c>
      <c r="I443" s="9" t="s">
        <v>74</v>
      </c>
      <c r="J443" s="9">
        <v>218</v>
      </c>
      <c r="K443" s="10" t="s">
        <v>96</v>
      </c>
      <c r="L443" s="13" t="s">
        <v>97</v>
      </c>
      <c r="M443" s="53" t="s">
        <v>436</v>
      </c>
      <c r="N443" s="9" t="s">
        <v>1149</v>
      </c>
      <c r="O443" s="70"/>
      <c r="P443" s="13"/>
      <c r="Q443" s="10"/>
      <c r="R443" s="10"/>
      <c r="S443" s="10"/>
      <c r="T443" s="13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 t="s">
        <v>100</v>
      </c>
      <c r="AL443" s="10"/>
      <c r="AM443" s="9" t="s">
        <v>1150</v>
      </c>
      <c r="AN443" s="10"/>
      <c r="AO443" s="72"/>
      <c r="AP443" s="72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</row>
    <row r="444" spans="1:57" x14ac:dyDescent="0.25">
      <c r="A444" s="9">
        <v>438</v>
      </c>
      <c r="B444" s="48" t="s">
        <v>1126</v>
      </c>
      <c r="C444" s="49" t="s">
        <v>1151</v>
      </c>
      <c r="D444" s="6" t="s">
        <v>69</v>
      </c>
      <c r="E444" s="50" t="s">
        <v>72</v>
      </c>
      <c r="F444" s="51" t="s">
        <v>87</v>
      </c>
      <c r="G444" s="10"/>
      <c r="H444" s="9" t="s">
        <v>74</v>
      </c>
      <c r="I444" s="9" t="s">
        <v>74</v>
      </c>
      <c r="J444" s="9">
        <v>260</v>
      </c>
      <c r="K444" s="10" t="s">
        <v>96</v>
      </c>
      <c r="L444" s="13" t="s">
        <v>97</v>
      </c>
      <c r="M444" s="53" t="s">
        <v>436</v>
      </c>
      <c r="N444" s="9" t="s">
        <v>1152</v>
      </c>
      <c r="O444" s="70"/>
      <c r="P444" s="13"/>
      <c r="Q444" s="10"/>
      <c r="R444" s="10"/>
      <c r="S444" s="10"/>
      <c r="T444" s="13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 t="s">
        <v>100</v>
      </c>
      <c r="AL444" s="10"/>
      <c r="AM444" s="9" t="s">
        <v>1153</v>
      </c>
      <c r="AN444" s="10"/>
      <c r="AO444" s="72"/>
      <c r="AP444" s="72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</row>
    <row r="445" spans="1:57" x14ac:dyDescent="0.25">
      <c r="A445" s="9">
        <v>439</v>
      </c>
      <c r="B445" s="48" t="s">
        <v>1126</v>
      </c>
      <c r="C445" s="49" t="s">
        <v>1154</v>
      </c>
      <c r="D445" s="6" t="s">
        <v>69</v>
      </c>
      <c r="E445" s="50" t="s">
        <v>72</v>
      </c>
      <c r="F445" s="51" t="s">
        <v>87</v>
      </c>
      <c r="G445" s="10"/>
      <c r="H445" s="9" t="s">
        <v>74</v>
      </c>
      <c r="I445" s="9" t="s">
        <v>74</v>
      </c>
      <c r="J445" s="9">
        <v>52</v>
      </c>
      <c r="K445" s="9" t="s">
        <v>89</v>
      </c>
      <c r="L445" s="9" t="s">
        <v>76</v>
      </c>
      <c r="M445" s="53" t="s">
        <v>436</v>
      </c>
      <c r="N445" s="9" t="s">
        <v>1152</v>
      </c>
      <c r="O445" s="70"/>
      <c r="P445" s="13"/>
      <c r="Q445" s="10"/>
      <c r="R445" s="10"/>
      <c r="S445" s="10"/>
      <c r="T445" s="13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72"/>
      <c r="AP445" s="72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</row>
    <row r="446" spans="1:57" x14ac:dyDescent="0.25">
      <c r="A446" s="9">
        <v>440</v>
      </c>
      <c r="B446" s="48" t="s">
        <v>1126</v>
      </c>
      <c r="C446" s="49" t="s">
        <v>1155</v>
      </c>
      <c r="D446" s="6" t="s">
        <v>69</v>
      </c>
      <c r="E446" s="50" t="s">
        <v>72</v>
      </c>
      <c r="F446" s="51" t="s">
        <v>87</v>
      </c>
      <c r="G446" s="10"/>
      <c r="H446" s="9" t="s">
        <v>292</v>
      </c>
      <c r="I446" s="9" t="s">
        <v>74</v>
      </c>
      <c r="J446" s="9">
        <v>33</v>
      </c>
      <c r="K446" s="10" t="s">
        <v>96</v>
      </c>
      <c r="L446" s="13" t="s">
        <v>97</v>
      </c>
      <c r="M446" s="53" t="s">
        <v>977</v>
      </c>
      <c r="N446" s="9" t="s">
        <v>1156</v>
      </c>
      <c r="O446" s="70"/>
      <c r="P446" s="13"/>
      <c r="Q446" s="10"/>
      <c r="R446" s="10"/>
      <c r="S446" s="10"/>
      <c r="T446" s="13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 t="s">
        <v>100</v>
      </c>
      <c r="AL446" s="10"/>
      <c r="AM446" s="9" t="s">
        <v>1157</v>
      </c>
      <c r="AN446" s="10" t="s">
        <v>165</v>
      </c>
      <c r="AO446" s="72"/>
      <c r="AP446" s="72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</row>
    <row r="447" spans="1:57" x14ac:dyDescent="0.25">
      <c r="A447" s="9">
        <v>441</v>
      </c>
      <c r="B447" s="48" t="s">
        <v>1126</v>
      </c>
      <c r="C447" s="49" t="s">
        <v>1158</v>
      </c>
      <c r="D447" s="6" t="s">
        <v>69</v>
      </c>
      <c r="E447" s="50" t="s">
        <v>72</v>
      </c>
      <c r="F447" s="51" t="s">
        <v>87</v>
      </c>
      <c r="G447" s="10"/>
      <c r="H447" s="9" t="s">
        <v>74</v>
      </c>
      <c r="I447" s="9" t="s">
        <v>74</v>
      </c>
      <c r="J447" s="9">
        <v>248</v>
      </c>
      <c r="K447" s="10" t="s">
        <v>96</v>
      </c>
      <c r="L447" s="13" t="s">
        <v>97</v>
      </c>
      <c r="M447" s="53" t="s">
        <v>977</v>
      </c>
      <c r="N447" s="9" t="s">
        <v>1156</v>
      </c>
      <c r="O447" s="70"/>
      <c r="P447" s="13"/>
      <c r="Q447" s="10"/>
      <c r="R447" s="10"/>
      <c r="S447" s="10"/>
      <c r="T447" s="13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 t="s">
        <v>100</v>
      </c>
      <c r="AL447" s="10"/>
      <c r="AM447" s="9" t="s">
        <v>1159</v>
      </c>
      <c r="AN447" s="10" t="s">
        <v>165</v>
      </c>
      <c r="AO447" s="72"/>
      <c r="AP447" s="72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</row>
    <row r="448" spans="1:57" x14ac:dyDescent="0.25">
      <c r="A448" s="9">
        <v>442</v>
      </c>
      <c r="B448" s="48" t="s">
        <v>1126</v>
      </c>
      <c r="C448" s="49" t="s">
        <v>1160</v>
      </c>
      <c r="D448" s="6" t="s">
        <v>69</v>
      </c>
      <c r="E448" s="50" t="s">
        <v>72</v>
      </c>
      <c r="F448" s="51" t="s">
        <v>87</v>
      </c>
      <c r="G448" s="10"/>
      <c r="H448" s="9" t="s">
        <v>74</v>
      </c>
      <c r="I448" s="9" t="s">
        <v>74</v>
      </c>
      <c r="J448" s="9">
        <v>136</v>
      </c>
      <c r="K448" s="10" t="s">
        <v>96</v>
      </c>
      <c r="L448" s="13" t="s">
        <v>97</v>
      </c>
      <c r="M448" s="53" t="s">
        <v>436</v>
      </c>
      <c r="N448" s="9" t="s">
        <v>1161</v>
      </c>
      <c r="O448" s="70"/>
      <c r="P448" s="13"/>
      <c r="Q448" s="10"/>
      <c r="R448" s="10"/>
      <c r="S448" s="10"/>
      <c r="T448" s="13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 t="s">
        <v>100</v>
      </c>
      <c r="AL448" s="10"/>
      <c r="AM448" s="9" t="s">
        <v>1162</v>
      </c>
      <c r="AN448" s="10"/>
      <c r="AO448" s="72"/>
      <c r="AP448" s="72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</row>
    <row r="449" spans="1:57" x14ac:dyDescent="0.25">
      <c r="A449" s="9">
        <v>443</v>
      </c>
      <c r="B449" s="48" t="s">
        <v>1126</v>
      </c>
      <c r="C449" s="49" t="s">
        <v>1163</v>
      </c>
      <c r="D449" s="6" t="s">
        <v>69</v>
      </c>
      <c r="E449" s="50" t="s">
        <v>72</v>
      </c>
      <c r="F449" s="51" t="s">
        <v>87</v>
      </c>
      <c r="G449" s="10"/>
      <c r="H449" s="9" t="s">
        <v>74</v>
      </c>
      <c r="I449" s="9" t="s">
        <v>74</v>
      </c>
      <c r="J449" s="9">
        <v>376</v>
      </c>
      <c r="K449" s="10" t="s">
        <v>96</v>
      </c>
      <c r="L449" s="13" t="s">
        <v>97</v>
      </c>
      <c r="M449" s="53" t="s">
        <v>1164</v>
      </c>
      <c r="N449" s="9" t="s">
        <v>1165</v>
      </c>
      <c r="O449" s="70"/>
      <c r="P449" s="13"/>
      <c r="Q449" s="10"/>
      <c r="R449" s="10"/>
      <c r="S449" s="10"/>
      <c r="T449" s="13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 t="s">
        <v>100</v>
      </c>
      <c r="AL449" s="10"/>
      <c r="AM449" s="9" t="s">
        <v>1166</v>
      </c>
      <c r="AN449" s="10"/>
      <c r="AO449" s="72"/>
      <c r="AP449" s="72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</row>
    <row r="450" spans="1:57" x14ac:dyDescent="0.25">
      <c r="A450" s="9">
        <v>444</v>
      </c>
      <c r="B450" s="48" t="s">
        <v>1126</v>
      </c>
      <c r="C450" s="49" t="s">
        <v>1167</v>
      </c>
      <c r="D450" s="6" t="s">
        <v>69</v>
      </c>
      <c r="E450" s="50" t="s">
        <v>72</v>
      </c>
      <c r="F450" s="51" t="s">
        <v>87</v>
      </c>
      <c r="G450" s="10"/>
      <c r="H450" s="9" t="s">
        <v>74</v>
      </c>
      <c r="I450" s="9" t="s">
        <v>74</v>
      </c>
      <c r="J450" s="9">
        <v>668</v>
      </c>
      <c r="K450" s="9" t="s">
        <v>89</v>
      </c>
      <c r="L450" s="9" t="s">
        <v>76</v>
      </c>
      <c r="M450" s="53" t="s">
        <v>1164</v>
      </c>
      <c r="N450" s="9" t="s">
        <v>1165</v>
      </c>
      <c r="O450" s="70"/>
      <c r="P450" s="13"/>
      <c r="Q450" s="10"/>
      <c r="R450" s="10"/>
      <c r="S450" s="10"/>
      <c r="T450" s="13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72"/>
      <c r="AP450" s="72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</row>
    <row r="451" spans="1:57" x14ac:dyDescent="0.25">
      <c r="A451" s="9">
        <v>445</v>
      </c>
      <c r="B451" s="48" t="s">
        <v>1126</v>
      </c>
      <c r="C451" s="49" t="s">
        <v>1168</v>
      </c>
      <c r="D451" s="6" t="s">
        <v>69</v>
      </c>
      <c r="E451" s="50" t="s">
        <v>72</v>
      </c>
      <c r="F451" s="51" t="s">
        <v>87</v>
      </c>
      <c r="G451" s="10"/>
      <c r="H451" s="9" t="s">
        <v>74</v>
      </c>
      <c r="I451" s="9" t="s">
        <v>74</v>
      </c>
      <c r="J451" s="9">
        <v>32</v>
      </c>
      <c r="K451" s="9" t="s">
        <v>89</v>
      </c>
      <c r="L451" s="9" t="s">
        <v>76</v>
      </c>
      <c r="M451" s="53" t="s">
        <v>1164</v>
      </c>
      <c r="N451" s="9" t="s">
        <v>1165</v>
      </c>
      <c r="O451" s="70"/>
      <c r="P451" s="13"/>
      <c r="Q451" s="10"/>
      <c r="R451" s="10"/>
      <c r="S451" s="10"/>
      <c r="T451" s="13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72"/>
      <c r="AP451" s="72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</row>
    <row r="452" spans="1:57" x14ac:dyDescent="0.25">
      <c r="A452" s="9">
        <v>446</v>
      </c>
      <c r="B452" s="48" t="s">
        <v>1126</v>
      </c>
      <c r="C452" s="49" t="s">
        <v>1169</v>
      </c>
      <c r="D452" s="6" t="s">
        <v>69</v>
      </c>
      <c r="E452" s="50" t="s">
        <v>72</v>
      </c>
      <c r="F452" s="51" t="s">
        <v>87</v>
      </c>
      <c r="G452" s="10"/>
      <c r="H452" s="9" t="s">
        <v>74</v>
      </c>
      <c r="I452" s="9" t="s">
        <v>74</v>
      </c>
      <c r="J452" s="9">
        <v>588</v>
      </c>
      <c r="K452" s="10" t="s">
        <v>96</v>
      </c>
      <c r="L452" s="13" t="s">
        <v>97</v>
      </c>
      <c r="M452" s="53" t="s">
        <v>1164</v>
      </c>
      <c r="N452" s="9" t="s">
        <v>1165</v>
      </c>
      <c r="O452" s="70"/>
      <c r="P452" s="13"/>
      <c r="Q452" s="10"/>
      <c r="R452" s="10"/>
      <c r="S452" s="10"/>
      <c r="T452" s="13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 t="s">
        <v>100</v>
      </c>
      <c r="AL452" s="10"/>
      <c r="AM452" s="9" t="s">
        <v>1170</v>
      </c>
      <c r="AN452" s="10"/>
      <c r="AO452" s="72"/>
      <c r="AP452" s="72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</row>
    <row r="453" spans="1:57" x14ac:dyDescent="0.25">
      <c r="A453" s="9">
        <v>447</v>
      </c>
      <c r="B453" s="48" t="s">
        <v>1126</v>
      </c>
      <c r="C453" s="49" t="s">
        <v>1171</v>
      </c>
      <c r="D453" s="6" t="s">
        <v>69</v>
      </c>
      <c r="E453" s="50" t="s">
        <v>72</v>
      </c>
      <c r="F453" s="51" t="s">
        <v>87</v>
      </c>
      <c r="G453" s="10"/>
      <c r="H453" s="9" t="s">
        <v>74</v>
      </c>
      <c r="I453" s="9" t="s">
        <v>74</v>
      </c>
      <c r="J453" s="9">
        <v>34</v>
      </c>
      <c r="K453" s="10" t="s">
        <v>96</v>
      </c>
      <c r="L453" s="13" t="s">
        <v>97</v>
      </c>
      <c r="M453" s="53" t="s">
        <v>436</v>
      </c>
      <c r="N453" s="9" t="s">
        <v>1172</v>
      </c>
      <c r="O453" s="70"/>
      <c r="P453" s="13"/>
      <c r="Q453" s="10"/>
      <c r="R453" s="10"/>
      <c r="S453" s="10"/>
      <c r="T453" s="13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 t="s">
        <v>100</v>
      </c>
      <c r="AL453" s="10"/>
      <c r="AM453" s="9" t="s">
        <v>1173</v>
      </c>
      <c r="AN453" s="10"/>
      <c r="AO453" s="72"/>
      <c r="AP453" s="72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</row>
    <row r="454" spans="1:57" x14ac:dyDescent="0.25">
      <c r="A454" s="9">
        <v>448</v>
      </c>
      <c r="B454" s="48" t="s">
        <v>1126</v>
      </c>
      <c r="C454" s="49" t="s">
        <v>1174</v>
      </c>
      <c r="D454" s="6" t="s">
        <v>69</v>
      </c>
      <c r="E454" s="50" t="s">
        <v>72</v>
      </c>
      <c r="F454" s="51" t="s">
        <v>87</v>
      </c>
      <c r="G454" s="10"/>
      <c r="H454" s="9" t="s">
        <v>74</v>
      </c>
      <c r="I454" s="9" t="s">
        <v>74</v>
      </c>
      <c r="J454" s="9">
        <v>134</v>
      </c>
      <c r="K454" s="10" t="s">
        <v>96</v>
      </c>
      <c r="L454" s="13" t="s">
        <v>97</v>
      </c>
      <c r="M454" s="53" t="s">
        <v>436</v>
      </c>
      <c r="N454" s="9" t="s">
        <v>1175</v>
      </c>
      <c r="O454" s="70"/>
      <c r="P454" s="13"/>
      <c r="Q454" s="10"/>
      <c r="R454" s="10"/>
      <c r="S454" s="10"/>
      <c r="T454" s="13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 t="s">
        <v>100</v>
      </c>
      <c r="AL454" s="10"/>
      <c r="AM454" s="9" t="s">
        <v>1176</v>
      </c>
      <c r="AN454" s="10"/>
      <c r="AO454" s="72"/>
      <c r="AP454" s="72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</row>
    <row r="455" spans="1:57" x14ac:dyDescent="0.25">
      <c r="A455" s="9">
        <v>449</v>
      </c>
      <c r="B455" s="48" t="s">
        <v>1126</v>
      </c>
      <c r="C455" s="49" t="s">
        <v>1177</v>
      </c>
      <c r="D455" s="6" t="s">
        <v>69</v>
      </c>
      <c r="E455" s="50" t="s">
        <v>72</v>
      </c>
      <c r="F455" s="51" t="s">
        <v>87</v>
      </c>
      <c r="G455" s="10"/>
      <c r="H455" s="9" t="s">
        <v>74</v>
      </c>
      <c r="I455" s="9" t="s">
        <v>74</v>
      </c>
      <c r="J455" s="9">
        <v>232</v>
      </c>
      <c r="K455" s="10" t="s">
        <v>96</v>
      </c>
      <c r="L455" s="13" t="s">
        <v>97</v>
      </c>
      <c r="M455" s="53" t="s">
        <v>436</v>
      </c>
      <c r="N455" s="9" t="s">
        <v>1175</v>
      </c>
      <c r="O455" s="70"/>
      <c r="P455" s="13"/>
      <c r="Q455" s="10"/>
      <c r="R455" s="10"/>
      <c r="S455" s="10"/>
      <c r="T455" s="13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 t="s">
        <v>100</v>
      </c>
      <c r="AL455" s="10"/>
      <c r="AM455" s="9" t="s">
        <v>1178</v>
      </c>
      <c r="AN455" s="10"/>
      <c r="AO455" s="72"/>
      <c r="AP455" s="72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</row>
    <row r="456" spans="1:57" x14ac:dyDescent="0.25">
      <c r="A456" s="9">
        <v>450</v>
      </c>
      <c r="B456" s="48" t="s">
        <v>1126</v>
      </c>
      <c r="C456" s="49" t="s">
        <v>1179</v>
      </c>
      <c r="D456" s="6" t="s">
        <v>69</v>
      </c>
      <c r="E456" s="50" t="s">
        <v>72</v>
      </c>
      <c r="F456" s="51" t="s">
        <v>87</v>
      </c>
      <c r="G456" s="10"/>
      <c r="H456" s="9" t="s">
        <v>74</v>
      </c>
      <c r="I456" s="9" t="s">
        <v>74</v>
      </c>
      <c r="J456" s="9">
        <v>110</v>
      </c>
      <c r="K456" s="10" t="s">
        <v>96</v>
      </c>
      <c r="L456" s="13" t="s">
        <v>97</v>
      </c>
      <c r="M456" s="53" t="s">
        <v>977</v>
      </c>
      <c r="N456" s="9" t="s">
        <v>1180</v>
      </c>
      <c r="O456" s="70"/>
      <c r="P456" s="13"/>
      <c r="Q456" s="10"/>
      <c r="R456" s="10"/>
      <c r="S456" s="10"/>
      <c r="T456" s="13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 t="s">
        <v>100</v>
      </c>
      <c r="AL456" s="10"/>
      <c r="AM456" s="9" t="s">
        <v>1181</v>
      </c>
      <c r="AN456" s="10" t="s">
        <v>165</v>
      </c>
      <c r="AO456" s="72"/>
      <c r="AP456" s="72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</row>
    <row r="457" spans="1:57" x14ac:dyDescent="0.25">
      <c r="A457" s="9">
        <v>451</v>
      </c>
      <c r="B457" s="48" t="s">
        <v>1126</v>
      </c>
      <c r="C457" s="49" t="s">
        <v>1182</v>
      </c>
      <c r="D457" s="6" t="s">
        <v>69</v>
      </c>
      <c r="E457" s="50" t="s">
        <v>72</v>
      </c>
      <c r="F457" s="51" t="s">
        <v>87</v>
      </c>
      <c r="G457" s="10"/>
      <c r="H457" s="9" t="s">
        <v>74</v>
      </c>
      <c r="I457" s="9" t="s">
        <v>74</v>
      </c>
      <c r="J457" s="9">
        <v>186</v>
      </c>
      <c r="K457" s="10" t="s">
        <v>96</v>
      </c>
      <c r="L457" s="13" t="s">
        <v>97</v>
      </c>
      <c r="M457" s="53" t="s">
        <v>436</v>
      </c>
      <c r="N457" s="9" t="s">
        <v>1183</v>
      </c>
      <c r="O457" s="70"/>
      <c r="P457" s="13"/>
      <c r="Q457" s="10"/>
      <c r="R457" s="10"/>
      <c r="S457" s="10"/>
      <c r="T457" s="13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 t="s">
        <v>100</v>
      </c>
      <c r="AL457" s="10"/>
      <c r="AM457" s="9" t="s">
        <v>1184</v>
      </c>
      <c r="AN457" s="10"/>
      <c r="AO457" s="72"/>
      <c r="AP457" s="72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</row>
    <row r="458" spans="1:57" x14ac:dyDescent="0.25">
      <c r="A458" s="9">
        <v>452</v>
      </c>
      <c r="B458" s="48" t="s">
        <v>1126</v>
      </c>
      <c r="C458" s="49" t="s">
        <v>1185</v>
      </c>
      <c r="D458" s="6" t="s">
        <v>69</v>
      </c>
      <c r="E458" s="50" t="s">
        <v>72</v>
      </c>
      <c r="F458" s="51" t="s">
        <v>87</v>
      </c>
      <c r="G458" s="10"/>
      <c r="H458" s="9" t="s">
        <v>74</v>
      </c>
      <c r="I458" s="9" t="s">
        <v>74</v>
      </c>
      <c r="J458" s="9">
        <v>176</v>
      </c>
      <c r="K458" s="10" t="s">
        <v>96</v>
      </c>
      <c r="L458" s="13" t="s">
        <v>97</v>
      </c>
      <c r="M458" s="53" t="s">
        <v>977</v>
      </c>
      <c r="N458" s="9" t="s">
        <v>1186</v>
      </c>
      <c r="O458" s="70"/>
      <c r="P458" s="13"/>
      <c r="Q458" s="10"/>
      <c r="R458" s="10"/>
      <c r="S458" s="10"/>
      <c r="T458" s="13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 t="s">
        <v>100</v>
      </c>
      <c r="AL458" s="10"/>
      <c r="AM458" s="9" t="s">
        <v>1187</v>
      </c>
      <c r="AN458" s="10" t="s">
        <v>165</v>
      </c>
      <c r="AO458" s="72"/>
      <c r="AP458" s="72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</row>
    <row r="459" spans="1:57" x14ac:dyDescent="0.25">
      <c r="A459" s="9">
        <v>453</v>
      </c>
      <c r="B459" s="48" t="s">
        <v>1126</v>
      </c>
      <c r="C459" s="49" t="s">
        <v>1188</v>
      </c>
      <c r="D459" s="6" t="s">
        <v>69</v>
      </c>
      <c r="E459" s="50" t="s">
        <v>72</v>
      </c>
      <c r="F459" s="51" t="s">
        <v>87</v>
      </c>
      <c r="G459" s="10"/>
      <c r="H459" s="9" t="s">
        <v>74</v>
      </c>
      <c r="I459" s="9" t="s">
        <v>74</v>
      </c>
      <c r="J459" s="9">
        <v>120</v>
      </c>
      <c r="K459" s="10" t="s">
        <v>96</v>
      </c>
      <c r="L459" s="13" t="s">
        <v>97</v>
      </c>
      <c r="M459" s="53" t="s">
        <v>436</v>
      </c>
      <c r="N459" s="9" t="s">
        <v>1189</v>
      </c>
      <c r="O459" s="70"/>
      <c r="P459" s="13"/>
      <c r="Q459" s="10"/>
      <c r="R459" s="10"/>
      <c r="S459" s="10"/>
      <c r="T459" s="13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 t="s">
        <v>100</v>
      </c>
      <c r="AL459" s="10"/>
      <c r="AM459" s="9" t="s">
        <v>1190</v>
      </c>
      <c r="AN459" s="10"/>
      <c r="AO459" s="72"/>
      <c r="AP459" s="72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</row>
    <row r="460" spans="1:57" x14ac:dyDescent="0.25">
      <c r="A460" s="9">
        <v>454</v>
      </c>
      <c r="B460" s="48" t="s">
        <v>1191</v>
      </c>
      <c r="C460" s="49" t="s">
        <v>1192</v>
      </c>
      <c r="D460" s="6" t="s">
        <v>69</v>
      </c>
      <c r="E460" s="50" t="s">
        <v>72</v>
      </c>
      <c r="F460" s="51" t="s">
        <v>87</v>
      </c>
      <c r="G460" s="10"/>
      <c r="H460" s="9" t="s">
        <v>74</v>
      </c>
      <c r="I460" s="9" t="s">
        <v>74</v>
      </c>
      <c r="J460" s="9">
        <v>151</v>
      </c>
      <c r="K460" s="9" t="s">
        <v>89</v>
      </c>
      <c r="L460" s="9" t="s">
        <v>76</v>
      </c>
      <c r="M460" s="53" t="s">
        <v>673</v>
      </c>
      <c r="N460" s="9" t="s">
        <v>1193</v>
      </c>
      <c r="O460" s="70"/>
      <c r="P460" s="13"/>
      <c r="Q460" s="10"/>
      <c r="R460" s="10"/>
      <c r="S460" s="10"/>
      <c r="T460" s="13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72"/>
      <c r="AP460" s="72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</row>
    <row r="461" spans="1:57" x14ac:dyDescent="0.25">
      <c r="A461" s="9">
        <v>455</v>
      </c>
      <c r="B461" s="48" t="s">
        <v>1191</v>
      </c>
      <c r="C461" s="49" t="s">
        <v>1194</v>
      </c>
      <c r="D461" s="6" t="s">
        <v>69</v>
      </c>
      <c r="E461" s="50" t="s">
        <v>72</v>
      </c>
      <c r="F461" s="51" t="s">
        <v>87</v>
      </c>
      <c r="G461" s="10"/>
      <c r="H461" s="9" t="s">
        <v>692</v>
      </c>
      <c r="I461" s="9" t="s">
        <v>74</v>
      </c>
      <c r="J461" s="9">
        <v>28</v>
      </c>
      <c r="K461" s="10" t="s">
        <v>96</v>
      </c>
      <c r="L461" s="13" t="s">
        <v>97</v>
      </c>
      <c r="M461" s="53" t="s">
        <v>673</v>
      </c>
      <c r="N461" s="9" t="s">
        <v>1193</v>
      </c>
      <c r="O461" s="70"/>
      <c r="P461" s="13"/>
      <c r="Q461" s="10"/>
      <c r="R461" s="10"/>
      <c r="S461" s="10"/>
      <c r="T461" s="13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 t="s">
        <v>100</v>
      </c>
      <c r="AL461" s="10"/>
      <c r="AM461" s="9" t="s">
        <v>1195</v>
      </c>
      <c r="AN461" s="10" t="s">
        <v>282</v>
      </c>
      <c r="AO461" s="72"/>
      <c r="AP461" s="72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</row>
    <row r="462" spans="1:57" x14ac:dyDescent="0.25">
      <c r="A462" s="9">
        <v>456</v>
      </c>
      <c r="B462" s="48" t="s">
        <v>1196</v>
      </c>
      <c r="C462" s="49" t="s">
        <v>1197</v>
      </c>
      <c r="D462" s="6" t="s">
        <v>69</v>
      </c>
      <c r="E462" s="50" t="s">
        <v>72</v>
      </c>
      <c r="F462" s="51" t="s">
        <v>87</v>
      </c>
      <c r="G462" s="10"/>
      <c r="H462" s="9" t="s">
        <v>427</v>
      </c>
      <c r="I462" s="9" t="s">
        <v>151</v>
      </c>
      <c r="J462" s="9">
        <v>94</v>
      </c>
      <c r="K462" s="10" t="s">
        <v>96</v>
      </c>
      <c r="L462" s="13" t="s">
        <v>97</v>
      </c>
      <c r="M462" s="53" t="s">
        <v>1050</v>
      </c>
      <c r="N462" s="9" t="s">
        <v>1198</v>
      </c>
      <c r="O462" s="70"/>
      <c r="P462" s="13"/>
      <c r="Q462" s="10"/>
      <c r="R462" s="10"/>
      <c r="S462" s="10"/>
      <c r="T462" s="13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 t="s">
        <v>100</v>
      </c>
      <c r="AL462" s="10"/>
      <c r="AM462" s="9" t="s">
        <v>1199</v>
      </c>
      <c r="AN462" s="10" t="s">
        <v>316</v>
      </c>
      <c r="AO462" s="72"/>
      <c r="AP462" s="72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</row>
    <row r="463" spans="1:57" x14ac:dyDescent="0.25">
      <c r="A463" s="9">
        <v>457</v>
      </c>
      <c r="B463" s="48" t="s">
        <v>1196</v>
      </c>
      <c r="C463" s="49" t="s">
        <v>1200</v>
      </c>
      <c r="D463" s="6" t="s">
        <v>69</v>
      </c>
      <c r="E463" s="50" t="s">
        <v>72</v>
      </c>
      <c r="F463" s="51" t="s">
        <v>87</v>
      </c>
      <c r="G463" s="10"/>
      <c r="H463" s="9" t="s">
        <v>74</v>
      </c>
      <c r="I463" s="9" t="s">
        <v>74</v>
      </c>
      <c r="J463" s="9">
        <v>256</v>
      </c>
      <c r="K463" s="10" t="s">
        <v>96</v>
      </c>
      <c r="L463" s="13" t="s">
        <v>97</v>
      </c>
      <c r="M463" s="53" t="s">
        <v>1050</v>
      </c>
      <c r="N463" s="9" t="s">
        <v>1198</v>
      </c>
      <c r="O463" s="70"/>
      <c r="P463" s="13"/>
      <c r="Q463" s="10"/>
      <c r="R463" s="10"/>
      <c r="S463" s="10"/>
      <c r="T463" s="13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 t="s">
        <v>100</v>
      </c>
      <c r="AL463" s="10"/>
      <c r="AM463" s="9" t="s">
        <v>1201</v>
      </c>
      <c r="AN463" s="10" t="s">
        <v>316</v>
      </c>
      <c r="AO463" s="72"/>
      <c r="AP463" s="72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</row>
    <row r="464" spans="1:57" x14ac:dyDescent="0.25">
      <c r="A464" s="9">
        <v>458</v>
      </c>
      <c r="B464" s="48" t="s">
        <v>1202</v>
      </c>
      <c r="C464" s="49" t="s">
        <v>1203</v>
      </c>
      <c r="D464" s="6" t="s">
        <v>69</v>
      </c>
      <c r="E464" s="50" t="s">
        <v>72</v>
      </c>
      <c r="F464" s="51" t="s">
        <v>87</v>
      </c>
      <c r="G464" s="10"/>
      <c r="H464" t="s">
        <v>292</v>
      </c>
      <c r="I464" s="9" t="s">
        <v>74</v>
      </c>
      <c r="J464" s="9">
        <v>337</v>
      </c>
      <c r="K464" s="10" t="s">
        <v>96</v>
      </c>
      <c r="L464" s="13" t="s">
        <v>97</v>
      </c>
      <c r="M464" s="53" t="s">
        <v>544</v>
      </c>
      <c r="N464" s="9" t="s">
        <v>1204</v>
      </c>
      <c r="O464" s="70"/>
      <c r="P464" s="13"/>
      <c r="Q464" s="10"/>
      <c r="R464" s="10"/>
      <c r="S464" s="10"/>
      <c r="T464" s="13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 t="s">
        <v>100</v>
      </c>
      <c r="AL464" s="10"/>
      <c r="AM464" s="73" t="s">
        <v>1205</v>
      </c>
      <c r="AN464" s="10" t="s">
        <v>175</v>
      </c>
      <c r="AO464" s="72"/>
      <c r="AP464" s="72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</row>
    <row r="465" spans="1:57" s="47" customFormat="1" x14ac:dyDescent="0.25">
      <c r="A465" s="41">
        <v>459</v>
      </c>
      <c r="B465" s="42" t="s">
        <v>1202</v>
      </c>
      <c r="C465" s="43" t="s">
        <v>1206</v>
      </c>
      <c r="D465" s="44" t="s">
        <v>69</v>
      </c>
      <c r="E465" s="45" t="s">
        <v>70</v>
      </c>
      <c r="F465" s="44" t="s">
        <v>70</v>
      </c>
      <c r="G465" s="44" t="s">
        <v>70</v>
      </c>
      <c r="H465" s="44" t="s">
        <v>70</v>
      </c>
      <c r="I465" s="44" t="s">
        <v>70</v>
      </c>
      <c r="J465" s="44" t="s">
        <v>70</v>
      </c>
      <c r="K465" s="44" t="s">
        <v>70</v>
      </c>
      <c r="L465" s="44" t="s">
        <v>70</v>
      </c>
      <c r="M465" s="45" t="s">
        <v>70</v>
      </c>
      <c r="N465" s="44" t="s">
        <v>70</v>
      </c>
      <c r="O465" s="67"/>
      <c r="P465" s="46"/>
      <c r="Q465" s="41"/>
      <c r="R465" s="41"/>
      <c r="S465" s="41"/>
      <c r="T465" s="46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72"/>
      <c r="AP465" s="72"/>
      <c r="AQ465" s="41"/>
      <c r="AR465" s="41"/>
      <c r="AS465" s="41"/>
      <c r="AT465" s="41"/>
      <c r="AU465" s="41"/>
      <c r="AV465" s="41"/>
      <c r="AW465" s="41"/>
      <c r="AX465" s="41"/>
      <c r="AY465" s="10"/>
      <c r="AZ465" s="41"/>
      <c r="BA465" s="41"/>
      <c r="BB465" s="41"/>
      <c r="BC465" s="41"/>
      <c r="BD465" s="41"/>
      <c r="BE465" s="41"/>
    </row>
    <row r="466" spans="1:57" x14ac:dyDescent="0.25">
      <c r="A466" s="9">
        <v>460</v>
      </c>
      <c r="B466" s="48" t="s">
        <v>1207</v>
      </c>
      <c r="C466" s="49" t="s">
        <v>1208</v>
      </c>
      <c r="D466" s="6" t="s">
        <v>69</v>
      </c>
      <c r="E466" s="50" t="s">
        <v>72</v>
      </c>
      <c r="F466" s="51" t="s">
        <v>87</v>
      </c>
      <c r="G466" s="10"/>
      <c r="H466" s="9" t="s">
        <v>74</v>
      </c>
      <c r="I466" s="9" t="s">
        <v>74</v>
      </c>
      <c r="J466" s="9">
        <v>46</v>
      </c>
      <c r="K466" s="9" t="s">
        <v>89</v>
      </c>
      <c r="L466" s="9" t="s">
        <v>76</v>
      </c>
      <c r="M466" s="53" t="s">
        <v>544</v>
      </c>
      <c r="N466" s="9" t="s">
        <v>1204</v>
      </c>
      <c r="O466" s="70"/>
      <c r="P466" s="13"/>
      <c r="Q466" s="10"/>
      <c r="R466" s="10"/>
      <c r="S466" s="10"/>
      <c r="T466" s="13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72"/>
      <c r="AP466" s="72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</row>
    <row r="467" spans="1:57" x14ac:dyDescent="0.25">
      <c r="A467" s="9">
        <v>461</v>
      </c>
      <c r="B467" s="48" t="s">
        <v>1207</v>
      </c>
      <c r="C467" s="49" t="s">
        <v>1209</v>
      </c>
      <c r="D467" s="6" t="s">
        <v>69</v>
      </c>
      <c r="E467" s="50" t="s">
        <v>72</v>
      </c>
      <c r="F467" s="51" t="s">
        <v>87</v>
      </c>
      <c r="G467" s="10"/>
      <c r="H467" s="9" t="s">
        <v>74</v>
      </c>
      <c r="I467" s="9" t="s">
        <v>74</v>
      </c>
      <c r="J467" s="9">
        <v>212</v>
      </c>
      <c r="K467" s="9" t="s">
        <v>89</v>
      </c>
      <c r="L467" s="9" t="s">
        <v>76</v>
      </c>
      <c r="M467" s="53" t="s">
        <v>544</v>
      </c>
      <c r="N467" s="9" t="s">
        <v>1204</v>
      </c>
      <c r="O467" s="70"/>
      <c r="P467" s="13"/>
      <c r="Q467" s="10"/>
      <c r="R467" s="10"/>
      <c r="S467" s="10"/>
      <c r="T467" s="13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72"/>
      <c r="AP467" s="72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</row>
    <row r="468" spans="1:57" x14ac:dyDescent="0.25">
      <c r="A468" s="9">
        <v>462</v>
      </c>
      <c r="B468" s="48" t="s">
        <v>1210</v>
      </c>
      <c r="C468" s="49" t="s">
        <v>1211</v>
      </c>
      <c r="D468" s="6" t="s">
        <v>69</v>
      </c>
      <c r="E468" s="50" t="s">
        <v>72</v>
      </c>
      <c r="F468" s="51" t="s">
        <v>87</v>
      </c>
      <c r="G468" s="10"/>
      <c r="H468" t="s">
        <v>444</v>
      </c>
      <c r="I468" s="9" t="s">
        <v>74</v>
      </c>
      <c r="J468" s="9">
        <v>6</v>
      </c>
      <c r="K468" s="10" t="s">
        <v>96</v>
      </c>
      <c r="L468" s="13" t="s">
        <v>97</v>
      </c>
      <c r="M468" s="53" t="s">
        <v>1050</v>
      </c>
      <c r="N468" s="9" t="s">
        <v>1212</v>
      </c>
      <c r="O468" s="70"/>
      <c r="P468" s="13"/>
      <c r="Q468" s="10"/>
      <c r="R468" s="10"/>
      <c r="S468" s="10"/>
      <c r="T468" s="13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 t="s">
        <v>100</v>
      </c>
      <c r="AL468" s="10"/>
      <c r="AM468" s="9" t="s">
        <v>1213</v>
      </c>
      <c r="AN468" s="10" t="s">
        <v>316</v>
      </c>
      <c r="AO468" s="72"/>
      <c r="AP468" s="72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</row>
    <row r="469" spans="1:57" x14ac:dyDescent="0.25">
      <c r="A469" s="9">
        <v>463</v>
      </c>
      <c r="B469" s="48" t="s">
        <v>1210</v>
      </c>
      <c r="C469" s="49" t="s">
        <v>1214</v>
      </c>
      <c r="D469" s="6" t="s">
        <v>69</v>
      </c>
      <c r="E469" s="50" t="s">
        <v>72</v>
      </c>
      <c r="F469" s="51" t="s">
        <v>87</v>
      </c>
      <c r="G469" s="10"/>
      <c r="H469" s="9" t="s">
        <v>427</v>
      </c>
      <c r="I469" s="9" t="s">
        <v>151</v>
      </c>
      <c r="J469" s="9">
        <v>91</v>
      </c>
      <c r="K469" s="10" t="s">
        <v>96</v>
      </c>
      <c r="L469" s="13" t="s">
        <v>97</v>
      </c>
      <c r="M469" s="53" t="s">
        <v>1050</v>
      </c>
      <c r="N469" s="9" t="s">
        <v>1215</v>
      </c>
      <c r="O469" s="70"/>
      <c r="P469" s="13"/>
      <c r="Q469" s="10"/>
      <c r="R469" s="10"/>
      <c r="S469" s="10"/>
      <c r="T469" s="13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 t="s">
        <v>100</v>
      </c>
      <c r="AL469" s="10"/>
      <c r="AM469" s="9" t="s">
        <v>1216</v>
      </c>
      <c r="AN469" s="10" t="s">
        <v>316</v>
      </c>
      <c r="AO469" s="72"/>
      <c r="AP469" s="72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</row>
    <row r="470" spans="1:57" x14ac:dyDescent="0.25">
      <c r="A470" s="9">
        <v>464</v>
      </c>
      <c r="B470" s="48" t="s">
        <v>1217</v>
      </c>
      <c r="C470" s="49" t="s">
        <v>1218</v>
      </c>
      <c r="D470" s="6" t="s">
        <v>69</v>
      </c>
      <c r="E470" s="50" t="s">
        <v>72</v>
      </c>
      <c r="F470" s="51" t="s">
        <v>87</v>
      </c>
      <c r="G470" s="10"/>
      <c r="H470" t="s">
        <v>444</v>
      </c>
      <c r="I470" s="9" t="s">
        <v>74</v>
      </c>
      <c r="J470" s="9">
        <v>27</v>
      </c>
      <c r="K470" s="10" t="s">
        <v>96</v>
      </c>
      <c r="L470" s="13" t="s">
        <v>97</v>
      </c>
      <c r="M470" s="53" t="s">
        <v>1219</v>
      </c>
      <c r="N470" s="9" t="s">
        <v>1220</v>
      </c>
      <c r="O470" s="70"/>
      <c r="P470" s="13"/>
      <c r="Q470" s="10"/>
      <c r="R470" s="10"/>
      <c r="S470" s="10"/>
      <c r="T470" s="13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 t="s">
        <v>100</v>
      </c>
      <c r="AL470" s="10"/>
      <c r="AM470" s="9" t="s">
        <v>1221</v>
      </c>
      <c r="AN470" s="10" t="s">
        <v>165</v>
      </c>
      <c r="AO470" s="72">
        <v>46282</v>
      </c>
      <c r="AP470" s="72">
        <v>46282</v>
      </c>
      <c r="AQ470" s="10">
        <v>66</v>
      </c>
      <c r="AR470" s="10" t="s">
        <v>103</v>
      </c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</row>
    <row r="471" spans="1:57" x14ac:dyDescent="0.25">
      <c r="A471" s="9">
        <v>465</v>
      </c>
      <c r="B471" s="48" t="s">
        <v>1217</v>
      </c>
      <c r="C471" s="49" t="s">
        <v>1222</v>
      </c>
      <c r="D471" s="6" t="s">
        <v>69</v>
      </c>
      <c r="E471" s="50" t="s">
        <v>72</v>
      </c>
      <c r="F471" s="51" t="s">
        <v>87</v>
      </c>
      <c r="G471" s="10"/>
      <c r="H471" s="9" t="s">
        <v>74</v>
      </c>
      <c r="I471" s="9" t="s">
        <v>74</v>
      </c>
      <c r="J471" s="9">
        <v>71</v>
      </c>
      <c r="K471" s="10" t="s">
        <v>96</v>
      </c>
      <c r="L471" s="13" t="s">
        <v>97</v>
      </c>
      <c r="M471" s="53" t="s">
        <v>1219</v>
      </c>
      <c r="N471" s="9" t="s">
        <v>1223</v>
      </c>
      <c r="O471" s="70"/>
      <c r="P471" s="13"/>
      <c r="Q471" s="10"/>
      <c r="R471" s="10"/>
      <c r="S471" s="10"/>
      <c r="T471" s="13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 t="s">
        <v>100</v>
      </c>
      <c r="AL471" s="10"/>
      <c r="AM471" s="9" t="s">
        <v>1224</v>
      </c>
      <c r="AN471" s="10" t="s">
        <v>165</v>
      </c>
      <c r="AO471" s="72"/>
      <c r="AP471" s="72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</row>
    <row r="472" spans="1:57" x14ac:dyDescent="0.25">
      <c r="A472" s="9">
        <v>466</v>
      </c>
      <c r="B472" s="48" t="s">
        <v>1225</v>
      </c>
      <c r="C472" s="49" t="s">
        <v>1226</v>
      </c>
      <c r="D472" s="6" t="s">
        <v>69</v>
      </c>
      <c r="E472" s="50" t="s">
        <v>72</v>
      </c>
      <c r="F472" s="51" t="s">
        <v>87</v>
      </c>
      <c r="G472" s="10"/>
      <c r="H472" t="s">
        <v>444</v>
      </c>
      <c r="I472" s="9" t="s">
        <v>74</v>
      </c>
      <c r="J472" s="9">
        <v>36</v>
      </c>
      <c r="K472" s="10" t="s">
        <v>96</v>
      </c>
      <c r="L472" s="13" t="s">
        <v>97</v>
      </c>
      <c r="M472" s="53" t="s">
        <v>193</v>
      </c>
      <c r="N472" s="9" t="s">
        <v>1227</v>
      </c>
      <c r="O472" s="70"/>
      <c r="P472" s="13"/>
      <c r="Q472" s="10"/>
      <c r="R472" s="10"/>
      <c r="S472" s="10"/>
      <c r="T472" s="13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9" t="s">
        <v>100</v>
      </c>
      <c r="AL472" s="10"/>
      <c r="AM472" s="9" t="s">
        <v>1228</v>
      </c>
      <c r="AN472" s="10" t="s">
        <v>296</v>
      </c>
      <c r="AO472" s="72">
        <v>46281</v>
      </c>
      <c r="AP472" s="72">
        <v>46281</v>
      </c>
      <c r="AQ472" s="10">
        <v>20</v>
      </c>
      <c r="AR472" s="10" t="s">
        <v>103</v>
      </c>
      <c r="AS472" s="2" t="s">
        <v>1229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</row>
    <row r="473" spans="1:57" x14ac:dyDescent="0.25">
      <c r="A473" s="9">
        <v>467</v>
      </c>
      <c r="B473" s="48" t="s">
        <v>1225</v>
      </c>
      <c r="C473" s="49" t="s">
        <v>1230</v>
      </c>
      <c r="D473" s="6" t="s">
        <v>69</v>
      </c>
      <c r="E473" s="50" t="s">
        <v>72</v>
      </c>
      <c r="F473" s="51" t="s">
        <v>87</v>
      </c>
      <c r="G473" s="10"/>
      <c r="H473" s="9" t="s">
        <v>74</v>
      </c>
      <c r="I473" s="9" t="s">
        <v>74</v>
      </c>
      <c r="J473" s="9">
        <v>61</v>
      </c>
      <c r="K473" s="9" t="s">
        <v>89</v>
      </c>
      <c r="L473" s="9" t="s">
        <v>76</v>
      </c>
      <c r="M473" s="53" t="s">
        <v>193</v>
      </c>
      <c r="N473" s="9" t="s">
        <v>1227</v>
      </c>
      <c r="O473" s="70"/>
      <c r="P473" s="13"/>
      <c r="Q473" s="10"/>
      <c r="R473" s="10"/>
      <c r="S473" s="10"/>
      <c r="T473" s="13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</row>
    <row r="474" spans="1:57" x14ac:dyDescent="0.25">
      <c r="A474" s="9">
        <v>468</v>
      </c>
      <c r="B474" s="48" t="s">
        <v>1231</v>
      </c>
      <c r="C474" s="49" t="s">
        <v>925</v>
      </c>
      <c r="D474" s="6" t="s">
        <v>69</v>
      </c>
      <c r="E474" s="50" t="s">
        <v>72</v>
      </c>
      <c r="F474" s="51" t="s">
        <v>87</v>
      </c>
      <c r="G474" s="10"/>
      <c r="H474" s="9" t="s">
        <v>1232</v>
      </c>
      <c r="I474" s="9" t="s">
        <v>74</v>
      </c>
      <c r="J474" s="9">
        <v>44</v>
      </c>
      <c r="K474" s="10" t="s">
        <v>96</v>
      </c>
      <c r="L474" s="13" t="s">
        <v>97</v>
      </c>
      <c r="M474" s="53" t="s">
        <v>1233</v>
      </c>
      <c r="N474" s="1" t="s">
        <v>1234</v>
      </c>
      <c r="O474" s="70"/>
      <c r="P474" s="13"/>
      <c r="Q474" s="10"/>
      <c r="R474" s="10"/>
      <c r="S474" s="10"/>
      <c r="T474" s="13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 t="s">
        <v>100</v>
      </c>
      <c r="AL474" s="10"/>
      <c r="AM474" s="9" t="s">
        <v>1235</v>
      </c>
      <c r="AN474" s="10" t="s">
        <v>179</v>
      </c>
      <c r="AO474" s="72">
        <v>46282</v>
      </c>
      <c r="AP474" s="72">
        <v>46282</v>
      </c>
      <c r="AQ474" s="10">
        <v>51</v>
      </c>
      <c r="AR474" s="10" t="s">
        <v>103</v>
      </c>
      <c r="AS474" s="2" t="s">
        <v>1236</v>
      </c>
      <c r="AT474" s="10"/>
      <c r="AU474" s="10"/>
      <c r="AV474" s="10"/>
      <c r="AW474" s="10"/>
      <c r="AX474" s="10"/>
      <c r="AY474" s="10" t="s">
        <v>181</v>
      </c>
      <c r="AZ474" s="10"/>
      <c r="BA474" s="10"/>
      <c r="BB474" s="10"/>
      <c r="BC474" s="10"/>
      <c r="BD474" s="10"/>
      <c r="BE474" s="10"/>
    </row>
    <row r="475" spans="1:57" x14ac:dyDescent="0.25">
      <c r="A475" s="9">
        <v>469</v>
      </c>
      <c r="B475" s="48" t="s">
        <v>1231</v>
      </c>
      <c r="C475" s="49" t="s">
        <v>1237</v>
      </c>
      <c r="D475" s="6" t="s">
        <v>69</v>
      </c>
      <c r="E475" s="50" t="s">
        <v>72</v>
      </c>
      <c r="F475" s="51" t="s">
        <v>87</v>
      </c>
      <c r="G475" s="10"/>
      <c r="H475" s="9" t="s">
        <v>74</v>
      </c>
      <c r="I475" s="9" t="s">
        <v>74</v>
      </c>
      <c r="J475" s="9">
        <v>56</v>
      </c>
      <c r="K475" s="10" t="s">
        <v>96</v>
      </c>
      <c r="L475" s="13" t="s">
        <v>97</v>
      </c>
      <c r="M475" s="53" t="s">
        <v>177</v>
      </c>
      <c r="N475" s="9" t="s">
        <v>848</v>
      </c>
      <c r="O475" s="70"/>
      <c r="P475" s="13"/>
      <c r="Q475" s="10"/>
      <c r="R475" s="10"/>
      <c r="S475" s="10"/>
      <c r="T475" s="13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9" t="s">
        <v>100</v>
      </c>
      <c r="AL475" s="10"/>
      <c r="AM475" s="9" t="s">
        <v>1238</v>
      </c>
      <c r="AN475" s="10" t="s">
        <v>179</v>
      </c>
      <c r="AO475" s="72">
        <v>46282</v>
      </c>
      <c r="AP475" s="72">
        <v>46282</v>
      </c>
      <c r="AQ475" s="10">
        <v>132</v>
      </c>
      <c r="AR475" s="10" t="s">
        <v>103</v>
      </c>
      <c r="AS475" s="2" t="s">
        <v>1239</v>
      </c>
      <c r="AT475" s="10"/>
      <c r="AU475" s="10"/>
      <c r="AV475" s="10"/>
      <c r="AW475" s="10"/>
      <c r="AX475" s="10"/>
      <c r="AY475" s="10" t="s">
        <v>181</v>
      </c>
      <c r="AZ475" s="10"/>
      <c r="BA475" s="10"/>
      <c r="BB475" s="10"/>
      <c r="BC475" s="10"/>
      <c r="BD475" s="10"/>
      <c r="BE475" s="10"/>
    </row>
    <row r="476" spans="1:57" s="47" customFormat="1" x14ac:dyDescent="0.25">
      <c r="A476" s="41">
        <v>470</v>
      </c>
      <c r="B476" s="42" t="s">
        <v>1240</v>
      </c>
      <c r="C476" s="43" t="s">
        <v>1241</v>
      </c>
      <c r="D476" s="44" t="s">
        <v>69</v>
      </c>
      <c r="E476" s="45" t="s">
        <v>70</v>
      </c>
      <c r="F476" s="44" t="s">
        <v>70</v>
      </c>
      <c r="G476" s="44" t="s">
        <v>70</v>
      </c>
      <c r="H476" s="44" t="s">
        <v>70</v>
      </c>
      <c r="I476" s="44" t="s">
        <v>70</v>
      </c>
      <c r="J476" s="44" t="s">
        <v>70</v>
      </c>
      <c r="K476" s="44" t="s">
        <v>70</v>
      </c>
      <c r="L476" s="44" t="s">
        <v>70</v>
      </c>
      <c r="M476" s="45" t="s">
        <v>70</v>
      </c>
      <c r="N476" s="44" t="s">
        <v>70</v>
      </c>
      <c r="O476" s="67"/>
      <c r="P476" s="46"/>
      <c r="Q476" s="41"/>
      <c r="R476" s="41"/>
      <c r="S476" s="41"/>
      <c r="T476" s="46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</row>
    <row r="477" spans="1:57" s="47" customFormat="1" x14ac:dyDescent="0.25">
      <c r="A477" s="41">
        <v>471</v>
      </c>
      <c r="B477" s="42" t="s">
        <v>1240</v>
      </c>
      <c r="C477" s="43" t="s">
        <v>1242</v>
      </c>
      <c r="D477" s="44" t="s">
        <v>69</v>
      </c>
      <c r="E477" s="45" t="s">
        <v>70</v>
      </c>
      <c r="F477" s="44" t="s">
        <v>70</v>
      </c>
      <c r="G477" s="44" t="s">
        <v>70</v>
      </c>
      <c r="H477" s="44" t="s">
        <v>70</v>
      </c>
      <c r="I477" s="44" t="s">
        <v>70</v>
      </c>
      <c r="J477" s="44" t="s">
        <v>70</v>
      </c>
      <c r="K477" s="44" t="s">
        <v>70</v>
      </c>
      <c r="L477" s="44" t="s">
        <v>70</v>
      </c>
      <c r="M477" s="45" t="s">
        <v>70</v>
      </c>
      <c r="N477" s="44" t="s">
        <v>70</v>
      </c>
      <c r="O477" s="67"/>
      <c r="P477" s="46"/>
      <c r="Q477" s="41"/>
      <c r="R477" s="41"/>
      <c r="S477" s="41"/>
      <c r="T477" s="46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</row>
    <row r="478" spans="1:57" s="47" customFormat="1" x14ac:dyDescent="0.25">
      <c r="A478" s="41">
        <v>472</v>
      </c>
      <c r="B478" s="42" t="s">
        <v>1240</v>
      </c>
      <c r="C478" s="43" t="s">
        <v>1243</v>
      </c>
      <c r="D478" s="44" t="s">
        <v>69</v>
      </c>
      <c r="E478" s="45" t="s">
        <v>70</v>
      </c>
      <c r="F478" s="44" t="s">
        <v>70</v>
      </c>
      <c r="G478" s="44" t="s">
        <v>70</v>
      </c>
      <c r="H478" s="44" t="s">
        <v>70</v>
      </c>
      <c r="I478" s="44" t="s">
        <v>70</v>
      </c>
      <c r="J478" s="44" t="s">
        <v>70</v>
      </c>
      <c r="K478" s="44" t="s">
        <v>70</v>
      </c>
      <c r="L478" s="44" t="s">
        <v>70</v>
      </c>
      <c r="M478" s="45" t="s">
        <v>70</v>
      </c>
      <c r="N478" s="44" t="s">
        <v>70</v>
      </c>
      <c r="O478" s="67"/>
      <c r="P478" s="46"/>
      <c r="Q478" s="41"/>
      <c r="R478" s="41"/>
      <c r="S478" s="41"/>
      <c r="T478" s="46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</row>
    <row r="479" spans="1:57" s="47" customFormat="1" x14ac:dyDescent="0.25">
      <c r="A479" s="41">
        <v>473</v>
      </c>
      <c r="B479" s="42" t="s">
        <v>1240</v>
      </c>
      <c r="C479" s="43" t="s">
        <v>1244</v>
      </c>
      <c r="D479" s="44" t="s">
        <v>69</v>
      </c>
      <c r="E479" s="45" t="s">
        <v>70</v>
      </c>
      <c r="F479" s="44" t="s">
        <v>70</v>
      </c>
      <c r="G479" s="44" t="s">
        <v>70</v>
      </c>
      <c r="H479" s="44" t="s">
        <v>70</v>
      </c>
      <c r="I479" s="44" t="s">
        <v>70</v>
      </c>
      <c r="J479" s="44" t="s">
        <v>70</v>
      </c>
      <c r="K479" s="44" t="s">
        <v>70</v>
      </c>
      <c r="L479" s="44" t="s">
        <v>70</v>
      </c>
      <c r="M479" s="45" t="s">
        <v>70</v>
      </c>
      <c r="N479" s="44" t="s">
        <v>70</v>
      </c>
      <c r="O479" s="67"/>
      <c r="P479" s="46"/>
      <c r="Q479" s="41"/>
      <c r="R479" s="41"/>
      <c r="S479" s="41"/>
      <c r="T479" s="46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</row>
    <row r="480" spans="1:57" s="47" customFormat="1" x14ac:dyDescent="0.25">
      <c r="A480" s="41">
        <v>474</v>
      </c>
      <c r="B480" s="42" t="s">
        <v>1240</v>
      </c>
      <c r="C480" s="43" t="s">
        <v>1245</v>
      </c>
      <c r="D480" s="44" t="s">
        <v>69</v>
      </c>
      <c r="E480" s="45" t="s">
        <v>70</v>
      </c>
      <c r="F480" s="44" t="s">
        <v>70</v>
      </c>
      <c r="G480" s="44" t="s">
        <v>70</v>
      </c>
      <c r="H480" s="44" t="s">
        <v>70</v>
      </c>
      <c r="I480" s="44" t="s">
        <v>70</v>
      </c>
      <c r="J480" s="44" t="s">
        <v>70</v>
      </c>
      <c r="K480" s="44" t="s">
        <v>70</v>
      </c>
      <c r="L480" s="44" t="s">
        <v>70</v>
      </c>
      <c r="M480" s="45" t="s">
        <v>70</v>
      </c>
      <c r="N480" s="44" t="s">
        <v>70</v>
      </c>
      <c r="O480" s="67"/>
      <c r="P480" s="46"/>
      <c r="Q480" s="41"/>
      <c r="R480" s="41"/>
      <c r="S480" s="41"/>
      <c r="T480" s="46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</row>
    <row r="481" spans="1:57" x14ac:dyDescent="0.25">
      <c r="A481" s="9">
        <v>475</v>
      </c>
      <c r="B481" s="48" t="s">
        <v>1246</v>
      </c>
      <c r="C481" s="49" t="s">
        <v>1247</v>
      </c>
      <c r="D481" s="6" t="s">
        <v>69</v>
      </c>
      <c r="E481" s="50" t="s">
        <v>72</v>
      </c>
      <c r="F481" s="51" t="s">
        <v>87</v>
      </c>
      <c r="G481" s="10"/>
      <c r="H481" s="9" t="s">
        <v>292</v>
      </c>
      <c r="I481" s="9" t="s">
        <v>74</v>
      </c>
      <c r="J481" s="9">
        <v>56</v>
      </c>
      <c r="K481" s="10" t="s">
        <v>96</v>
      </c>
      <c r="L481" s="13" t="s">
        <v>97</v>
      </c>
      <c r="M481" s="53" t="s">
        <v>1248</v>
      </c>
      <c r="N481" s="9" t="s">
        <v>1249</v>
      </c>
      <c r="O481" s="70"/>
      <c r="P481" s="13"/>
      <c r="Q481" s="10"/>
      <c r="R481" s="10"/>
      <c r="S481" s="10"/>
      <c r="T481" s="13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9" t="s">
        <v>100</v>
      </c>
      <c r="AL481" s="10"/>
      <c r="AM481" s="9" t="s">
        <v>1250</v>
      </c>
      <c r="AN481" s="10" t="s">
        <v>175</v>
      </c>
      <c r="AO481" s="72">
        <v>46280</v>
      </c>
      <c r="AP481" s="72">
        <v>46280</v>
      </c>
      <c r="AQ481" s="10">
        <v>44</v>
      </c>
      <c r="AR481" s="10" t="s">
        <v>103</v>
      </c>
      <c r="AS481" s="2" t="s">
        <v>1251</v>
      </c>
      <c r="AT481" s="10"/>
      <c r="AU481" s="10"/>
      <c r="AV481" s="10"/>
      <c r="AW481" s="10"/>
      <c r="AX481" s="10"/>
      <c r="AY481" s="10" t="s">
        <v>105</v>
      </c>
      <c r="AZ481" s="72">
        <v>46282</v>
      </c>
      <c r="BA481" s="72">
        <v>46282</v>
      </c>
      <c r="BB481" s="10">
        <v>52</v>
      </c>
      <c r="BC481" s="10" t="s">
        <v>103</v>
      </c>
      <c r="BD481" s="10" t="s">
        <v>1252</v>
      </c>
      <c r="BE481" s="82" t="s">
        <v>1253</v>
      </c>
    </row>
    <row r="482" spans="1:57" x14ac:dyDescent="0.25">
      <c r="A482" s="9">
        <v>476</v>
      </c>
      <c r="B482" s="48" t="s">
        <v>1246</v>
      </c>
      <c r="C482" s="49" t="s">
        <v>1254</v>
      </c>
      <c r="D482" s="6" t="s">
        <v>69</v>
      </c>
      <c r="E482" s="50" t="s">
        <v>72</v>
      </c>
      <c r="F482" s="51" t="s">
        <v>87</v>
      </c>
      <c r="G482" s="10"/>
      <c r="H482" s="9" t="s">
        <v>74</v>
      </c>
      <c r="I482" s="9" t="s">
        <v>74</v>
      </c>
      <c r="J482" s="9">
        <v>1</v>
      </c>
      <c r="K482" s="9" t="s">
        <v>89</v>
      </c>
      <c r="L482" s="9" t="s">
        <v>76</v>
      </c>
      <c r="M482" s="53" t="s">
        <v>1248</v>
      </c>
      <c r="N482" s="9" t="s">
        <v>1249</v>
      </c>
      <c r="O482" s="70"/>
      <c r="P482" s="13"/>
      <c r="Q482" s="10"/>
      <c r="R482" s="10"/>
      <c r="S482" s="10"/>
      <c r="T482" s="13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</row>
    <row r="483" spans="1:57" x14ac:dyDescent="0.25">
      <c r="A483" s="9">
        <v>477</v>
      </c>
      <c r="B483" s="48" t="s">
        <v>1246</v>
      </c>
      <c r="C483" s="49" t="s">
        <v>1255</v>
      </c>
      <c r="D483" s="6" t="s">
        <v>69</v>
      </c>
      <c r="E483" s="50" t="s">
        <v>72</v>
      </c>
      <c r="F483" s="51" t="s">
        <v>87</v>
      </c>
      <c r="G483" s="10"/>
      <c r="H483" s="9" t="s">
        <v>74</v>
      </c>
      <c r="I483" s="9" t="s">
        <v>74</v>
      </c>
      <c r="J483" s="9">
        <v>3</v>
      </c>
      <c r="K483" s="9" t="s">
        <v>89</v>
      </c>
      <c r="L483" s="9" t="s">
        <v>76</v>
      </c>
      <c r="M483" s="53" t="s">
        <v>1248</v>
      </c>
      <c r="N483" s="9" t="s">
        <v>1249</v>
      </c>
      <c r="O483" s="70"/>
      <c r="P483" s="13"/>
      <c r="Q483" s="10"/>
      <c r="R483" s="10"/>
      <c r="S483" s="10"/>
      <c r="T483" s="13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</row>
    <row r="484" spans="1:57" x14ac:dyDescent="0.25">
      <c r="A484" s="9">
        <v>478</v>
      </c>
      <c r="B484" s="48" t="s">
        <v>1246</v>
      </c>
      <c r="C484" s="49" t="s">
        <v>1256</v>
      </c>
      <c r="D484" s="6" t="s">
        <v>69</v>
      </c>
      <c r="E484" s="50" t="s">
        <v>72</v>
      </c>
      <c r="F484" s="51" t="s">
        <v>87</v>
      </c>
      <c r="G484" s="10"/>
      <c r="H484" s="9" t="s">
        <v>74</v>
      </c>
      <c r="I484" s="9" t="s">
        <v>74</v>
      </c>
      <c r="J484" s="9">
        <v>1</v>
      </c>
      <c r="K484" s="9" t="s">
        <v>89</v>
      </c>
      <c r="L484" s="9" t="s">
        <v>76</v>
      </c>
      <c r="M484" s="53" t="s">
        <v>1248</v>
      </c>
      <c r="N484" s="9" t="s">
        <v>1249</v>
      </c>
      <c r="O484" s="70"/>
      <c r="P484" s="13"/>
      <c r="Q484" s="10"/>
      <c r="R484" s="10"/>
      <c r="S484" s="10"/>
      <c r="T484" s="13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</row>
    <row r="485" spans="1:57" x14ac:dyDescent="0.25">
      <c r="A485" s="9">
        <v>479</v>
      </c>
      <c r="B485" s="48" t="s">
        <v>1257</v>
      </c>
      <c r="C485" s="49" t="s">
        <v>1258</v>
      </c>
      <c r="D485" s="6" t="s">
        <v>69</v>
      </c>
      <c r="E485" s="50" t="s">
        <v>72</v>
      </c>
      <c r="F485" s="51" t="s">
        <v>87</v>
      </c>
      <c r="G485" s="10"/>
      <c r="H485" s="9" t="s">
        <v>74</v>
      </c>
      <c r="I485" s="9" t="s">
        <v>74</v>
      </c>
      <c r="J485" s="9">
        <v>143</v>
      </c>
      <c r="K485" s="10" t="s">
        <v>96</v>
      </c>
      <c r="L485" s="13" t="s">
        <v>97</v>
      </c>
      <c r="M485" s="53" t="s">
        <v>1248</v>
      </c>
      <c r="N485" s="9" t="s">
        <v>1249</v>
      </c>
      <c r="O485" s="70"/>
      <c r="P485" s="13"/>
      <c r="Q485" s="10"/>
      <c r="R485" s="10"/>
      <c r="S485" s="10"/>
      <c r="T485" s="13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9" t="s">
        <v>100</v>
      </c>
      <c r="AL485" s="10"/>
      <c r="AM485" s="9" t="s">
        <v>1259</v>
      </c>
      <c r="AN485" s="10" t="s">
        <v>175</v>
      </c>
      <c r="AO485" s="72">
        <v>46280</v>
      </c>
      <c r="AP485" s="72">
        <v>46280</v>
      </c>
      <c r="AQ485" s="10">
        <v>100</v>
      </c>
      <c r="AR485" s="10" t="s">
        <v>103</v>
      </c>
      <c r="AS485" s="2" t="s">
        <v>1260</v>
      </c>
      <c r="AT485" s="10"/>
      <c r="AU485" s="10"/>
      <c r="AV485" s="10"/>
      <c r="AW485" s="10"/>
      <c r="AX485" s="10"/>
      <c r="AY485" s="10" t="s">
        <v>105</v>
      </c>
      <c r="AZ485" s="72">
        <v>46282</v>
      </c>
      <c r="BA485" s="72">
        <v>46282</v>
      </c>
      <c r="BB485" s="10">
        <v>0</v>
      </c>
      <c r="BC485" s="10" t="s">
        <v>103</v>
      </c>
      <c r="BD485" s="10" t="s">
        <v>1261</v>
      </c>
      <c r="BE485" s="82" t="s">
        <v>1262</v>
      </c>
    </row>
    <row r="486" spans="1:57" x14ac:dyDescent="0.25">
      <c r="A486" s="9">
        <v>480</v>
      </c>
      <c r="B486" s="48" t="s">
        <v>1257</v>
      </c>
      <c r="C486" s="49" t="s">
        <v>1263</v>
      </c>
      <c r="D486" s="6" t="s">
        <v>69</v>
      </c>
      <c r="E486" s="50" t="s">
        <v>72</v>
      </c>
      <c r="F486" s="51" t="s">
        <v>87</v>
      </c>
      <c r="G486" s="10"/>
      <c r="H486" s="9" t="s">
        <v>74</v>
      </c>
      <c r="I486" s="9" t="s">
        <v>74</v>
      </c>
      <c r="J486" s="9">
        <v>93</v>
      </c>
      <c r="K486" s="10" t="s">
        <v>96</v>
      </c>
      <c r="L486" s="13" t="s">
        <v>97</v>
      </c>
      <c r="M486" s="53" t="s">
        <v>1248</v>
      </c>
      <c r="N486" s="9" t="s">
        <v>1249</v>
      </c>
      <c r="O486" s="70"/>
      <c r="P486" s="13"/>
      <c r="Q486" s="10"/>
      <c r="R486" s="10"/>
      <c r="S486" s="10"/>
      <c r="T486" s="13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9" t="s">
        <v>100</v>
      </c>
      <c r="AL486" s="10"/>
      <c r="AM486" s="9" t="s">
        <v>1264</v>
      </c>
      <c r="AN486" s="10" t="s">
        <v>175</v>
      </c>
      <c r="AO486" s="72">
        <v>46280</v>
      </c>
      <c r="AP486" s="72">
        <v>46280</v>
      </c>
      <c r="AQ486" s="10">
        <v>609</v>
      </c>
      <c r="AR486" s="10" t="s">
        <v>103</v>
      </c>
      <c r="AS486" s="2" t="s">
        <v>1265</v>
      </c>
      <c r="AT486" s="10"/>
      <c r="AU486" s="10"/>
      <c r="AV486" s="10"/>
      <c r="AW486" s="10"/>
      <c r="AX486" s="10"/>
      <c r="AY486" s="10" t="s">
        <v>105</v>
      </c>
      <c r="AZ486" s="72">
        <v>46282</v>
      </c>
      <c r="BA486" s="72">
        <v>46282</v>
      </c>
      <c r="BB486" s="10">
        <v>587</v>
      </c>
      <c r="BC486" s="10" t="s">
        <v>103</v>
      </c>
      <c r="BD486" s="10" t="s">
        <v>1266</v>
      </c>
      <c r="BE486" s="82" t="s">
        <v>1267</v>
      </c>
    </row>
    <row r="487" spans="1:57" x14ac:dyDescent="0.25">
      <c r="A487" s="9">
        <v>481</v>
      </c>
      <c r="B487" s="48" t="s">
        <v>1268</v>
      </c>
      <c r="C487" s="49" t="s">
        <v>1269</v>
      </c>
      <c r="D487" s="6" t="s">
        <v>69</v>
      </c>
      <c r="E487" s="50" t="s">
        <v>72</v>
      </c>
      <c r="F487" s="51" t="s">
        <v>87</v>
      </c>
      <c r="G487" s="10"/>
      <c r="H487" s="9" t="s">
        <v>74</v>
      </c>
      <c r="I487" s="9" t="s">
        <v>74</v>
      </c>
      <c r="J487" s="9">
        <v>28</v>
      </c>
      <c r="K487" s="10" t="s">
        <v>96</v>
      </c>
      <c r="L487" s="13" t="s">
        <v>97</v>
      </c>
      <c r="M487" s="53" t="s">
        <v>1248</v>
      </c>
      <c r="N487" s="9" t="s">
        <v>1270</v>
      </c>
      <c r="O487" s="70"/>
      <c r="P487" s="13"/>
      <c r="Q487" s="10"/>
      <c r="R487" s="10"/>
      <c r="S487" s="10"/>
      <c r="T487" s="13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9" t="s">
        <v>100</v>
      </c>
      <c r="AL487" s="10"/>
      <c r="AM487" s="9" t="s">
        <v>1271</v>
      </c>
      <c r="AN487" s="10" t="s">
        <v>175</v>
      </c>
      <c r="AO487" s="72">
        <v>46280</v>
      </c>
      <c r="AP487" s="72">
        <v>46280</v>
      </c>
      <c r="AQ487" s="10">
        <v>43</v>
      </c>
      <c r="AR487" s="10" t="s">
        <v>103</v>
      </c>
      <c r="AS487" s="2" t="s">
        <v>1272</v>
      </c>
      <c r="AT487" s="10"/>
      <c r="AU487" s="10"/>
      <c r="AV487" s="10"/>
      <c r="AW487" s="10"/>
      <c r="AX487" s="10"/>
      <c r="AY487" s="10" t="s">
        <v>105</v>
      </c>
      <c r="AZ487" s="72">
        <v>46282</v>
      </c>
      <c r="BA487" s="72">
        <v>46282</v>
      </c>
      <c r="BB487" s="10">
        <v>43</v>
      </c>
      <c r="BC487" s="10" t="s">
        <v>103</v>
      </c>
      <c r="BD487" s="10" t="s">
        <v>1273</v>
      </c>
      <c r="BE487" s="82" t="s">
        <v>1274</v>
      </c>
    </row>
    <row r="488" spans="1:57" x14ac:dyDescent="0.25">
      <c r="A488" s="9">
        <v>482</v>
      </c>
      <c r="B488" s="48" t="s">
        <v>1268</v>
      </c>
      <c r="C488" s="49" t="s">
        <v>1275</v>
      </c>
      <c r="D488" s="6" t="s">
        <v>69</v>
      </c>
      <c r="E488" s="50" t="s">
        <v>72</v>
      </c>
      <c r="F488" s="51" t="s">
        <v>87</v>
      </c>
      <c r="G488" s="10"/>
      <c r="H488" s="9" t="s">
        <v>74</v>
      </c>
      <c r="I488" s="9" t="s">
        <v>74</v>
      </c>
      <c r="J488" s="9">
        <v>80</v>
      </c>
      <c r="K488" s="10" t="s">
        <v>96</v>
      </c>
      <c r="L488" s="13" t="s">
        <v>97</v>
      </c>
      <c r="M488" s="53" t="s">
        <v>1248</v>
      </c>
      <c r="N488" s="9" t="s">
        <v>1270</v>
      </c>
      <c r="O488" s="70"/>
      <c r="P488" s="13"/>
      <c r="Q488" s="10"/>
      <c r="R488" s="10"/>
      <c r="S488" s="10"/>
      <c r="T488" s="13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 t="s">
        <v>100</v>
      </c>
      <c r="AL488" s="10"/>
      <c r="AM488" s="9">
        <v>5</v>
      </c>
      <c r="AN488" s="10" t="s">
        <v>175</v>
      </c>
      <c r="AO488" s="72">
        <v>46280</v>
      </c>
      <c r="AP488" s="72">
        <v>46280</v>
      </c>
      <c r="AQ488" s="10">
        <v>2</v>
      </c>
      <c r="AR488" s="10" t="s">
        <v>103</v>
      </c>
      <c r="AS488" s="2" t="s">
        <v>1276</v>
      </c>
      <c r="AT488" s="10"/>
      <c r="AU488" s="10"/>
      <c r="AV488" s="10"/>
      <c r="AW488" s="10"/>
      <c r="AX488" s="10"/>
      <c r="AY488" s="10" t="s">
        <v>105</v>
      </c>
      <c r="AZ488" s="72">
        <v>46282</v>
      </c>
      <c r="BA488" s="72">
        <v>46282</v>
      </c>
      <c r="BB488" s="10">
        <v>2</v>
      </c>
      <c r="BC488" s="10" t="s">
        <v>103</v>
      </c>
      <c r="BD488" s="10" t="s">
        <v>1277</v>
      </c>
      <c r="BE488" s="82" t="s">
        <v>1278</v>
      </c>
    </row>
    <row r="489" spans="1:57" x14ac:dyDescent="0.25">
      <c r="A489" s="9">
        <v>483</v>
      </c>
      <c r="B489" s="48" t="s">
        <v>1279</v>
      </c>
      <c r="C489" s="49" t="s">
        <v>1280</v>
      </c>
      <c r="D489" s="6" t="s">
        <v>69</v>
      </c>
      <c r="E489" s="50" t="s">
        <v>72</v>
      </c>
      <c r="F489" s="51" t="s">
        <v>87</v>
      </c>
      <c r="G489" s="10"/>
      <c r="H489" s="9" t="s">
        <v>74</v>
      </c>
      <c r="I489" s="9" t="s">
        <v>74</v>
      </c>
      <c r="J489" s="9">
        <v>20</v>
      </c>
      <c r="K489" s="10" t="s">
        <v>96</v>
      </c>
      <c r="L489" s="13" t="s">
        <v>97</v>
      </c>
      <c r="M489" s="53" t="s">
        <v>1248</v>
      </c>
      <c r="N489" s="9" t="s">
        <v>1249</v>
      </c>
      <c r="O489" s="70"/>
      <c r="P489" s="13"/>
      <c r="Q489" s="10"/>
      <c r="R489" s="10"/>
      <c r="S489" s="10"/>
      <c r="T489" s="13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 t="s">
        <v>100</v>
      </c>
      <c r="AL489" s="10"/>
      <c r="AM489" s="9" t="s">
        <v>1281</v>
      </c>
      <c r="AN489" s="10" t="s">
        <v>175</v>
      </c>
      <c r="AO489" s="72">
        <v>46280</v>
      </c>
      <c r="AP489" s="72">
        <v>46280</v>
      </c>
      <c r="AQ489" s="10">
        <v>95</v>
      </c>
      <c r="AR489" s="10" t="s">
        <v>103</v>
      </c>
      <c r="AS489" s="2" t="s">
        <v>1282</v>
      </c>
      <c r="AT489" s="10"/>
      <c r="AU489" s="10"/>
      <c r="AV489" s="10"/>
      <c r="AW489" s="10"/>
      <c r="AX489" s="10"/>
      <c r="AY489" s="10" t="s">
        <v>105</v>
      </c>
      <c r="AZ489" s="72">
        <v>46282</v>
      </c>
      <c r="BA489" s="72">
        <v>46282</v>
      </c>
      <c r="BB489" s="10">
        <v>95</v>
      </c>
      <c r="BC489" s="10" t="s">
        <v>103</v>
      </c>
      <c r="BD489" s="10" t="s">
        <v>1283</v>
      </c>
      <c r="BE489" s="82" t="s">
        <v>1284</v>
      </c>
    </row>
    <row r="490" spans="1:57" x14ac:dyDescent="0.25">
      <c r="A490" s="9">
        <v>484</v>
      </c>
      <c r="B490" s="48" t="s">
        <v>1285</v>
      </c>
      <c r="C490" s="49" t="s">
        <v>1286</v>
      </c>
      <c r="D490" s="6" t="s">
        <v>69</v>
      </c>
      <c r="E490" s="50" t="s">
        <v>72</v>
      </c>
      <c r="F490" s="51" t="s">
        <v>87</v>
      </c>
      <c r="G490" s="10"/>
      <c r="H490" s="9" t="s">
        <v>74</v>
      </c>
      <c r="I490" s="9" t="s">
        <v>74</v>
      </c>
      <c r="J490" s="9">
        <v>11</v>
      </c>
      <c r="K490" s="9" t="s">
        <v>89</v>
      </c>
      <c r="L490" s="9" t="s">
        <v>76</v>
      </c>
      <c r="M490" s="53" t="s">
        <v>1248</v>
      </c>
      <c r="N490" s="9" t="s">
        <v>1249</v>
      </c>
      <c r="O490" s="70"/>
      <c r="P490" s="13"/>
      <c r="Q490" s="10"/>
      <c r="R490" s="10"/>
      <c r="S490" s="10"/>
      <c r="T490" s="13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</row>
    <row r="491" spans="1:57" x14ac:dyDescent="0.25">
      <c r="A491" s="9">
        <v>485</v>
      </c>
      <c r="B491" s="48" t="s">
        <v>1285</v>
      </c>
      <c r="C491" s="49" t="s">
        <v>1287</v>
      </c>
      <c r="D491" s="6" t="s">
        <v>69</v>
      </c>
      <c r="E491" s="50" t="s">
        <v>72</v>
      </c>
      <c r="F491" s="51" t="s">
        <v>87</v>
      </c>
      <c r="G491" s="10"/>
      <c r="H491" s="9" t="s">
        <v>74</v>
      </c>
      <c r="I491" s="9" t="s">
        <v>74</v>
      </c>
      <c r="J491" s="9">
        <v>6</v>
      </c>
      <c r="K491" s="9" t="s">
        <v>89</v>
      </c>
      <c r="L491" s="9" t="s">
        <v>76</v>
      </c>
      <c r="M491" s="53" t="s">
        <v>1248</v>
      </c>
      <c r="N491" s="9" t="s">
        <v>1249</v>
      </c>
      <c r="O491" s="70"/>
      <c r="P491" s="13"/>
      <c r="Q491" s="10"/>
      <c r="R491" s="10"/>
      <c r="S491" s="10"/>
      <c r="T491" s="13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</row>
    <row r="492" spans="1:57" x14ac:dyDescent="0.25">
      <c r="A492" s="9">
        <v>486</v>
      </c>
      <c r="B492" s="48" t="s">
        <v>1285</v>
      </c>
      <c r="C492" s="49" t="s">
        <v>1288</v>
      </c>
      <c r="D492" s="6" t="s">
        <v>69</v>
      </c>
      <c r="E492" s="50" t="s">
        <v>72</v>
      </c>
      <c r="F492" s="51" t="s">
        <v>87</v>
      </c>
      <c r="G492" s="10"/>
      <c r="H492" s="9" t="s">
        <v>74</v>
      </c>
      <c r="I492" s="9" t="s">
        <v>74</v>
      </c>
      <c r="J492" s="9">
        <v>5</v>
      </c>
      <c r="K492" s="10" t="s">
        <v>96</v>
      </c>
      <c r="L492" s="13" t="s">
        <v>97</v>
      </c>
      <c r="M492" s="53" t="s">
        <v>1248</v>
      </c>
      <c r="N492" s="9" t="s">
        <v>1249</v>
      </c>
      <c r="O492" s="70"/>
      <c r="P492" s="13"/>
      <c r="Q492" s="10"/>
      <c r="R492" s="10"/>
      <c r="S492" s="10"/>
      <c r="T492" s="13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 t="s">
        <v>100</v>
      </c>
      <c r="AL492" s="10"/>
      <c r="AM492" s="9" t="s">
        <v>1289</v>
      </c>
      <c r="AN492" s="10" t="s">
        <v>175</v>
      </c>
      <c r="AO492" s="72">
        <v>46280</v>
      </c>
      <c r="AP492" s="72">
        <v>46280</v>
      </c>
      <c r="AQ492" s="10">
        <v>25</v>
      </c>
      <c r="AR492" s="10" t="s">
        <v>103</v>
      </c>
      <c r="AS492" s="2" t="s">
        <v>1290</v>
      </c>
      <c r="AT492" s="10"/>
      <c r="AU492" s="10"/>
      <c r="AV492" s="10"/>
      <c r="AW492" s="10"/>
      <c r="AX492" s="10"/>
      <c r="AY492" s="10" t="s">
        <v>105</v>
      </c>
      <c r="AZ492" s="72">
        <v>46282</v>
      </c>
      <c r="BA492" s="72">
        <v>46282</v>
      </c>
      <c r="BB492" s="10">
        <v>25</v>
      </c>
      <c r="BC492" s="10" t="s">
        <v>103</v>
      </c>
      <c r="BD492" s="10" t="s">
        <v>1291</v>
      </c>
      <c r="BE492" s="82" t="s">
        <v>1292</v>
      </c>
    </row>
    <row r="493" spans="1:57" x14ac:dyDescent="0.25">
      <c r="A493" s="9">
        <v>487</v>
      </c>
      <c r="B493" s="48" t="s">
        <v>1293</v>
      </c>
      <c r="C493" s="49" t="s">
        <v>1294</v>
      </c>
      <c r="D493" s="6" t="s">
        <v>69</v>
      </c>
      <c r="E493" s="50" t="s">
        <v>72</v>
      </c>
      <c r="F493" s="51" t="s">
        <v>87</v>
      </c>
      <c r="G493" s="10"/>
      <c r="H493" s="9" t="s">
        <v>74</v>
      </c>
      <c r="I493" s="9" t="s">
        <v>74</v>
      </c>
      <c r="J493" s="9">
        <v>29</v>
      </c>
      <c r="K493" s="9" t="s">
        <v>89</v>
      </c>
      <c r="L493" s="9" t="s">
        <v>76</v>
      </c>
      <c r="M493" s="53" t="s">
        <v>952</v>
      </c>
      <c r="N493" s="9" t="s">
        <v>1295</v>
      </c>
      <c r="O493" s="70"/>
      <c r="P493" s="13"/>
      <c r="Q493" s="10"/>
      <c r="R493" s="10"/>
      <c r="S493" s="10"/>
      <c r="T493" s="13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</row>
    <row r="494" spans="1:57" x14ac:dyDescent="0.25">
      <c r="A494" s="9">
        <v>488</v>
      </c>
      <c r="B494" s="48" t="s">
        <v>1293</v>
      </c>
      <c r="C494" s="49" t="s">
        <v>1296</v>
      </c>
      <c r="D494" s="6" t="s">
        <v>69</v>
      </c>
      <c r="E494" s="50" t="s">
        <v>72</v>
      </c>
      <c r="F494" s="51" t="s">
        <v>87</v>
      </c>
      <c r="G494" s="10"/>
      <c r="H494" s="9" t="s">
        <v>116</v>
      </c>
      <c r="I494" s="9" t="s">
        <v>74</v>
      </c>
      <c r="J494" s="9">
        <v>32</v>
      </c>
      <c r="K494" s="10" t="s">
        <v>96</v>
      </c>
      <c r="L494" s="13" t="s">
        <v>97</v>
      </c>
      <c r="M494" s="53" t="s">
        <v>952</v>
      </c>
      <c r="N494" s="9" t="s">
        <v>1295</v>
      </c>
      <c r="O494" s="70"/>
      <c r="P494" s="13"/>
      <c r="Q494" s="10"/>
      <c r="R494" s="10"/>
      <c r="S494" s="10"/>
      <c r="T494" s="13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 t="s">
        <v>100</v>
      </c>
      <c r="AL494" s="10"/>
      <c r="AM494" s="9">
        <v>23</v>
      </c>
      <c r="AN494" s="10" t="s">
        <v>179</v>
      </c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</row>
    <row r="495" spans="1:57" x14ac:dyDescent="0.25">
      <c r="A495" s="9">
        <v>489</v>
      </c>
      <c r="B495" s="48" t="s">
        <v>1297</v>
      </c>
      <c r="C495" s="49" t="s">
        <v>1298</v>
      </c>
      <c r="D495" s="6" t="s">
        <v>69</v>
      </c>
      <c r="E495" s="50" t="s">
        <v>72</v>
      </c>
      <c r="F495" s="51" t="s">
        <v>87</v>
      </c>
      <c r="G495" s="10"/>
      <c r="H495" s="9" t="s">
        <v>74</v>
      </c>
      <c r="I495" s="9" t="s">
        <v>74</v>
      </c>
      <c r="J495" s="9">
        <v>14</v>
      </c>
      <c r="K495" s="9" t="s">
        <v>89</v>
      </c>
      <c r="L495" s="9" t="s">
        <v>76</v>
      </c>
      <c r="M495" s="53" t="s">
        <v>1062</v>
      </c>
      <c r="N495" s="9" t="s">
        <v>1299</v>
      </c>
      <c r="O495" s="70"/>
      <c r="P495" s="13"/>
      <c r="Q495" s="10"/>
      <c r="R495" s="10"/>
      <c r="S495" s="10"/>
      <c r="T495" s="13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</row>
    <row r="496" spans="1:57" x14ac:dyDescent="0.25">
      <c r="A496" s="9">
        <v>490</v>
      </c>
      <c r="B496" s="48" t="s">
        <v>1297</v>
      </c>
      <c r="C496" s="49" t="s">
        <v>1300</v>
      </c>
      <c r="D496" s="6" t="s">
        <v>69</v>
      </c>
      <c r="E496" s="50" t="s">
        <v>72</v>
      </c>
      <c r="F496" s="51" t="s">
        <v>87</v>
      </c>
      <c r="G496" s="10"/>
      <c r="H496" s="9" t="s">
        <v>74</v>
      </c>
      <c r="I496" s="9" t="s">
        <v>74</v>
      </c>
      <c r="J496" s="9">
        <v>32</v>
      </c>
      <c r="K496" s="9" t="s">
        <v>89</v>
      </c>
      <c r="L496" s="9" t="s">
        <v>76</v>
      </c>
      <c r="M496" s="53" t="s">
        <v>1062</v>
      </c>
      <c r="N496" s="9" t="s">
        <v>1299</v>
      </c>
      <c r="O496" s="70"/>
      <c r="P496" s="13"/>
      <c r="Q496" s="10"/>
      <c r="R496" s="10"/>
      <c r="S496" s="10"/>
      <c r="T496" s="13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</row>
    <row r="497" spans="1:57" x14ac:dyDescent="0.25">
      <c r="A497" s="9">
        <v>491</v>
      </c>
      <c r="B497" s="48" t="s">
        <v>1297</v>
      </c>
      <c r="C497" s="49" t="s">
        <v>1301</v>
      </c>
      <c r="D497" s="6" t="s">
        <v>69</v>
      </c>
      <c r="E497" s="50" t="s">
        <v>72</v>
      </c>
      <c r="F497" s="51" t="s">
        <v>87</v>
      </c>
      <c r="G497" s="10"/>
      <c r="H497" s="9" t="s">
        <v>74</v>
      </c>
      <c r="I497" s="9" t="s">
        <v>74</v>
      </c>
      <c r="J497" s="9">
        <v>14</v>
      </c>
      <c r="K497" s="9" t="s">
        <v>89</v>
      </c>
      <c r="L497" s="9" t="s">
        <v>76</v>
      </c>
      <c r="M497" s="53" t="s">
        <v>1062</v>
      </c>
      <c r="N497" s="9" t="s">
        <v>1299</v>
      </c>
      <c r="O497" s="70"/>
      <c r="P497" s="13"/>
      <c r="Q497" s="10"/>
      <c r="R497" s="10"/>
      <c r="S497" s="10"/>
      <c r="T497" s="13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</row>
    <row r="498" spans="1:57" x14ac:dyDescent="0.25">
      <c r="A498" s="9">
        <v>492</v>
      </c>
      <c r="B498" s="48" t="s">
        <v>1297</v>
      </c>
      <c r="C498" s="49" t="s">
        <v>1302</v>
      </c>
      <c r="D498" s="6" t="s">
        <v>69</v>
      </c>
      <c r="E498" s="50" t="s">
        <v>72</v>
      </c>
      <c r="F498" s="51" t="s">
        <v>87</v>
      </c>
      <c r="G498" s="10"/>
      <c r="H498" s="9" t="s">
        <v>74</v>
      </c>
      <c r="I498" s="9" t="s">
        <v>74</v>
      </c>
      <c r="J498" s="9">
        <v>7</v>
      </c>
      <c r="K498" s="10" t="s">
        <v>96</v>
      </c>
      <c r="L498" s="13" t="s">
        <v>97</v>
      </c>
      <c r="M498" s="53" t="s">
        <v>1062</v>
      </c>
      <c r="N498" s="9" t="s">
        <v>1299</v>
      </c>
      <c r="O498" s="70"/>
      <c r="P498" s="13"/>
      <c r="Q498" s="10"/>
      <c r="R498" s="10"/>
      <c r="S498" s="10"/>
      <c r="T498" s="13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 t="s">
        <v>100</v>
      </c>
      <c r="AL498" s="10"/>
      <c r="AM498" s="9" t="s">
        <v>1303</v>
      </c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</row>
    <row r="499" spans="1:57" x14ac:dyDescent="0.25">
      <c r="A499" s="9">
        <v>493</v>
      </c>
      <c r="B499" s="48" t="s">
        <v>1297</v>
      </c>
      <c r="C499" s="49" t="s">
        <v>1304</v>
      </c>
      <c r="D499" s="6" t="s">
        <v>69</v>
      </c>
      <c r="E499" s="50" t="s">
        <v>72</v>
      </c>
      <c r="F499" s="51" t="s">
        <v>87</v>
      </c>
      <c r="G499" s="10"/>
      <c r="H499" s="9" t="s">
        <v>74</v>
      </c>
      <c r="I499" s="9" t="s">
        <v>74</v>
      </c>
      <c r="J499" s="9">
        <v>20</v>
      </c>
      <c r="K499" s="9" t="s">
        <v>89</v>
      </c>
      <c r="L499" s="9" t="s">
        <v>76</v>
      </c>
      <c r="M499" s="53" t="s">
        <v>1062</v>
      </c>
      <c r="N499" s="9" t="s">
        <v>1299</v>
      </c>
      <c r="O499" s="70"/>
      <c r="P499" s="13"/>
      <c r="Q499" s="10"/>
      <c r="R499" s="10"/>
      <c r="S499" s="10"/>
      <c r="T499" s="13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</row>
    <row r="500" spans="1:57" x14ac:dyDescent="0.25">
      <c r="A500" s="9">
        <v>494</v>
      </c>
      <c r="B500" s="48" t="s">
        <v>1297</v>
      </c>
      <c r="C500" s="49" t="s">
        <v>1305</v>
      </c>
      <c r="D500" s="6" t="s">
        <v>69</v>
      </c>
      <c r="E500" s="50" t="s">
        <v>72</v>
      </c>
      <c r="F500" s="51" t="s">
        <v>87</v>
      </c>
      <c r="G500" s="10"/>
      <c r="H500" s="9" t="s">
        <v>74</v>
      </c>
      <c r="I500" s="9" t="s">
        <v>74</v>
      </c>
      <c r="J500" s="9">
        <v>148</v>
      </c>
      <c r="K500" s="10" t="s">
        <v>96</v>
      </c>
      <c r="L500" s="13" t="s">
        <v>97</v>
      </c>
      <c r="M500" s="53" t="s">
        <v>1062</v>
      </c>
      <c r="N500" s="9" t="s">
        <v>1299</v>
      </c>
      <c r="O500" s="70"/>
      <c r="P500" s="13"/>
      <c r="Q500" s="10"/>
      <c r="R500" s="10"/>
      <c r="S500" s="10"/>
      <c r="T500" s="13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 t="s">
        <v>100</v>
      </c>
      <c r="AL500" s="10"/>
      <c r="AM500" s="9" t="s">
        <v>1306</v>
      </c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</row>
    <row r="501" spans="1:57" x14ac:dyDescent="0.25">
      <c r="A501" s="9">
        <v>495</v>
      </c>
      <c r="B501" s="48" t="s">
        <v>1297</v>
      </c>
      <c r="C501" s="49" t="s">
        <v>1307</v>
      </c>
      <c r="D501" s="6" t="s">
        <v>69</v>
      </c>
      <c r="E501" s="50" t="s">
        <v>72</v>
      </c>
      <c r="F501" s="51" t="s">
        <v>87</v>
      </c>
      <c r="G501" s="10"/>
      <c r="H501" s="9" t="s">
        <v>74</v>
      </c>
      <c r="I501" s="9" t="s">
        <v>74</v>
      </c>
      <c r="J501" s="9">
        <v>10</v>
      </c>
      <c r="K501" s="10" t="s">
        <v>96</v>
      </c>
      <c r="L501" s="13" t="s">
        <v>97</v>
      </c>
      <c r="M501" s="53" t="s">
        <v>1062</v>
      </c>
      <c r="N501" s="9" t="s">
        <v>1299</v>
      </c>
      <c r="O501" s="70"/>
      <c r="P501" s="13"/>
      <c r="Q501" s="10"/>
      <c r="R501" s="10"/>
      <c r="S501" s="10"/>
      <c r="T501" s="13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 t="s">
        <v>100</v>
      </c>
      <c r="AL501" s="10"/>
      <c r="AM501" s="9">
        <v>4</v>
      </c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</row>
    <row r="502" spans="1:57" x14ac:dyDescent="0.25">
      <c r="A502" s="9">
        <v>496</v>
      </c>
      <c r="B502" s="48" t="s">
        <v>1297</v>
      </c>
      <c r="C502" s="49" t="s">
        <v>1308</v>
      </c>
      <c r="D502" s="6" t="s">
        <v>69</v>
      </c>
      <c r="E502" s="50" t="s">
        <v>72</v>
      </c>
      <c r="F502" s="51" t="s">
        <v>87</v>
      </c>
      <c r="G502" s="10"/>
      <c r="H502" s="9" t="s">
        <v>74</v>
      </c>
      <c r="I502" s="9" t="s">
        <v>74</v>
      </c>
      <c r="J502" s="9">
        <v>128</v>
      </c>
      <c r="K502" s="10" t="s">
        <v>96</v>
      </c>
      <c r="L502" s="13" t="s">
        <v>97</v>
      </c>
      <c r="M502" s="53" t="s">
        <v>1062</v>
      </c>
      <c r="N502" s="9" t="s">
        <v>1299</v>
      </c>
      <c r="O502" s="70"/>
      <c r="P502" s="13"/>
      <c r="Q502" s="10"/>
      <c r="R502" s="10"/>
      <c r="S502" s="10"/>
      <c r="T502" s="13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 t="s">
        <v>100</v>
      </c>
      <c r="AL502" s="10"/>
      <c r="AM502" s="9" t="s">
        <v>1309</v>
      </c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</row>
    <row r="503" spans="1:57" x14ac:dyDescent="0.25">
      <c r="A503" s="9">
        <v>497</v>
      </c>
      <c r="B503" s="48" t="s">
        <v>1297</v>
      </c>
      <c r="C503" s="49" t="s">
        <v>1310</v>
      </c>
      <c r="D503" s="6" t="s">
        <v>69</v>
      </c>
      <c r="E503" s="50" t="s">
        <v>72</v>
      </c>
      <c r="F503" s="51" t="s">
        <v>87</v>
      </c>
      <c r="G503" s="10"/>
      <c r="H503" s="9" t="s">
        <v>74</v>
      </c>
      <c r="I503" s="9" t="s">
        <v>74</v>
      </c>
      <c r="J503" s="9">
        <v>168</v>
      </c>
      <c r="K503" s="10" t="s">
        <v>96</v>
      </c>
      <c r="L503" s="13" t="s">
        <v>97</v>
      </c>
      <c r="M503" s="53" t="s">
        <v>1062</v>
      </c>
      <c r="N503" s="9" t="s">
        <v>1299</v>
      </c>
      <c r="O503" s="70"/>
      <c r="P503" s="13"/>
      <c r="Q503" s="10"/>
      <c r="R503" s="10"/>
      <c r="S503" s="10"/>
      <c r="T503" s="13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 t="s">
        <v>100</v>
      </c>
      <c r="AL503" s="10"/>
      <c r="AM503" s="9" t="s">
        <v>1311</v>
      </c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</row>
    <row r="504" spans="1:57" x14ac:dyDescent="0.25">
      <c r="A504" s="9">
        <v>498</v>
      </c>
      <c r="B504" s="48" t="s">
        <v>1297</v>
      </c>
      <c r="C504" s="49" t="s">
        <v>1312</v>
      </c>
      <c r="D504" s="6" t="s">
        <v>69</v>
      </c>
      <c r="E504" s="50" t="s">
        <v>72</v>
      </c>
      <c r="F504" s="51" t="s">
        <v>87</v>
      </c>
      <c r="G504" s="10"/>
      <c r="H504" s="9" t="s">
        <v>74</v>
      </c>
      <c r="I504" s="9" t="s">
        <v>74</v>
      </c>
      <c r="J504" s="9">
        <v>139</v>
      </c>
      <c r="K504" s="9" t="s">
        <v>89</v>
      </c>
      <c r="L504" s="9" t="s">
        <v>76</v>
      </c>
      <c r="M504" s="53" t="s">
        <v>1062</v>
      </c>
      <c r="N504" s="9" t="s">
        <v>1299</v>
      </c>
      <c r="O504" s="70"/>
      <c r="P504" s="13"/>
      <c r="Q504" s="10"/>
      <c r="R504" s="10"/>
      <c r="S504" s="10"/>
      <c r="T504" s="13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</row>
    <row r="505" spans="1:57" x14ac:dyDescent="0.25">
      <c r="A505" s="9">
        <v>499</v>
      </c>
      <c r="B505" s="48" t="s">
        <v>1297</v>
      </c>
      <c r="C505" s="49" t="s">
        <v>1313</v>
      </c>
      <c r="D505" s="6" t="s">
        <v>69</v>
      </c>
      <c r="E505" s="50" t="s">
        <v>72</v>
      </c>
      <c r="F505" s="51" t="s">
        <v>87</v>
      </c>
      <c r="G505" s="10"/>
      <c r="H505" s="9" t="s">
        <v>74</v>
      </c>
      <c r="I505" s="9" t="s">
        <v>74</v>
      </c>
      <c r="J505" s="9">
        <v>25</v>
      </c>
      <c r="K505" s="9" t="s">
        <v>89</v>
      </c>
      <c r="L505" s="9" t="s">
        <v>76</v>
      </c>
      <c r="M505" s="53" t="s">
        <v>1062</v>
      </c>
      <c r="N505" s="9" t="s">
        <v>1299</v>
      </c>
      <c r="O505" s="70"/>
      <c r="P505" s="13"/>
      <c r="Q505" s="10"/>
      <c r="R505" s="10"/>
      <c r="S505" s="10"/>
      <c r="T505" s="13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</row>
    <row r="506" spans="1:57" x14ac:dyDescent="0.25">
      <c r="A506" s="9">
        <v>500</v>
      </c>
      <c r="B506" s="48" t="s">
        <v>1297</v>
      </c>
      <c r="C506" s="49" t="s">
        <v>1314</v>
      </c>
      <c r="D506" s="6" t="s">
        <v>69</v>
      </c>
      <c r="E506" s="50" t="s">
        <v>72</v>
      </c>
      <c r="F506" s="51" t="s">
        <v>87</v>
      </c>
      <c r="G506" s="10"/>
      <c r="H506" s="9" t="s">
        <v>74</v>
      </c>
      <c r="I506" s="9" t="s">
        <v>74</v>
      </c>
      <c r="J506" s="9">
        <v>10</v>
      </c>
      <c r="K506" s="9" t="s">
        <v>89</v>
      </c>
      <c r="L506" s="9" t="s">
        <v>76</v>
      </c>
      <c r="M506" s="53" t="s">
        <v>1062</v>
      </c>
      <c r="N506" s="9" t="s">
        <v>1299</v>
      </c>
      <c r="O506" s="70"/>
      <c r="P506" s="13"/>
      <c r="Q506" s="10"/>
      <c r="R506" s="10"/>
      <c r="S506" s="10"/>
      <c r="T506" s="13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</row>
    <row r="507" spans="1:57" x14ac:dyDescent="0.25">
      <c r="A507" s="9">
        <v>501</v>
      </c>
      <c r="B507" s="48" t="s">
        <v>1297</v>
      </c>
      <c r="C507" s="49" t="s">
        <v>1315</v>
      </c>
      <c r="D507" s="6" t="s">
        <v>69</v>
      </c>
      <c r="E507" s="50" t="s">
        <v>72</v>
      </c>
      <c r="F507" s="51" t="s">
        <v>87</v>
      </c>
      <c r="G507" s="10"/>
      <c r="H507" s="9" t="s">
        <v>74</v>
      </c>
      <c r="I507" s="9" t="s">
        <v>74</v>
      </c>
      <c r="J507" s="9">
        <v>14</v>
      </c>
      <c r="K507" s="9" t="s">
        <v>89</v>
      </c>
      <c r="L507" s="9" t="s">
        <v>76</v>
      </c>
      <c r="M507" s="53" t="s">
        <v>1062</v>
      </c>
      <c r="N507" s="9" t="s">
        <v>1299</v>
      </c>
      <c r="O507" s="70"/>
      <c r="P507" s="13"/>
      <c r="Q507" s="10"/>
      <c r="R507" s="10"/>
      <c r="S507" s="10"/>
      <c r="T507" s="13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</row>
    <row r="508" spans="1:57" x14ac:dyDescent="0.25">
      <c r="A508" s="9">
        <v>502</v>
      </c>
      <c r="B508" s="48" t="s">
        <v>1297</v>
      </c>
      <c r="C508" s="49" t="s">
        <v>1316</v>
      </c>
      <c r="D508" s="6" t="s">
        <v>69</v>
      </c>
      <c r="E508" s="50" t="s">
        <v>72</v>
      </c>
      <c r="F508" s="51" t="s">
        <v>87</v>
      </c>
      <c r="G508" s="10"/>
      <c r="H508" s="9" t="s">
        <v>74</v>
      </c>
      <c r="I508" s="9" t="s">
        <v>74</v>
      </c>
      <c r="J508" s="9">
        <v>38</v>
      </c>
      <c r="K508" s="10" t="s">
        <v>96</v>
      </c>
      <c r="L508" s="13" t="s">
        <v>97</v>
      </c>
      <c r="M508" s="53" t="s">
        <v>1062</v>
      </c>
      <c r="N508" s="9" t="s">
        <v>1299</v>
      </c>
      <c r="O508" s="70"/>
      <c r="P508" s="13"/>
      <c r="Q508" s="10"/>
      <c r="R508" s="10"/>
      <c r="S508" s="10"/>
      <c r="T508" s="13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 t="s">
        <v>100</v>
      </c>
      <c r="AL508" s="10"/>
      <c r="AM508" s="9" t="s">
        <v>1317</v>
      </c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</row>
    <row r="509" spans="1:57" x14ac:dyDescent="0.25">
      <c r="A509" s="9">
        <v>503</v>
      </c>
      <c r="B509" s="48" t="s">
        <v>1297</v>
      </c>
      <c r="C509" s="49" t="s">
        <v>1318</v>
      </c>
      <c r="D509" s="6" t="s">
        <v>69</v>
      </c>
      <c r="E509" s="50" t="s">
        <v>72</v>
      </c>
      <c r="F509" s="51" t="s">
        <v>87</v>
      </c>
      <c r="G509" s="10"/>
      <c r="H509" s="9" t="s">
        <v>74</v>
      </c>
      <c r="I509" s="9" t="s">
        <v>74</v>
      </c>
      <c r="J509" s="9">
        <v>98</v>
      </c>
      <c r="K509" s="10" t="s">
        <v>96</v>
      </c>
      <c r="L509" s="13" t="s">
        <v>97</v>
      </c>
      <c r="M509" s="53" t="s">
        <v>1062</v>
      </c>
      <c r="N509" s="9" t="s">
        <v>1299</v>
      </c>
      <c r="O509" s="70"/>
      <c r="P509" s="13"/>
      <c r="Q509" s="10"/>
      <c r="R509" s="10"/>
      <c r="S509" s="10"/>
      <c r="T509" s="13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 t="s">
        <v>100</v>
      </c>
      <c r="AL509" s="10"/>
      <c r="AM509" s="9" t="s">
        <v>1319</v>
      </c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</row>
    <row r="511" spans="1:57" x14ac:dyDescent="0.25">
      <c r="AQ511" s="56" t="s">
        <v>1320</v>
      </c>
    </row>
  </sheetData>
  <autoFilter ref="A6:XFC509" xr:uid="{8F411DF5-94FC-439F-A344-E44E06A335D0}"/>
  <phoneticPr fontId="19" type="noConversion"/>
  <conditionalFormatting sqref="C1:C1048576">
    <cfRule type="duplicateValues" dxfId="6" priority="7"/>
  </conditionalFormatting>
  <conditionalFormatting sqref="C194:C1048576 C1:C192">
    <cfRule type="duplicateValues" dxfId="5" priority="17"/>
  </conditionalFormatting>
  <conditionalFormatting sqref="C194:C1048576 C119:C192 C1:C115">
    <cfRule type="duplicateValues" dxfId="4" priority="20"/>
  </conditionalFormatting>
  <conditionalFormatting sqref="I60">
    <cfRule type="expression" dxfId="3" priority="1">
      <formula>MOD(ROW(),2)=0</formula>
    </cfRule>
    <cfRule type="expression" priority="2">
      <formula>MOD(ROW(),2)=0</formula>
    </cfRule>
  </conditionalFormatting>
  <conditionalFormatting sqref="AL316:AL319 AL321:AL326">
    <cfRule type="duplicateValues" dxfId="2" priority="4"/>
  </conditionalFormatting>
  <conditionalFormatting sqref="AL316:AL319">
    <cfRule type="duplicateValues" dxfId="1" priority="5"/>
  </conditionalFormatting>
  <conditionalFormatting sqref="AL316:AL326">
    <cfRule type="duplicateValues" dxfId="0" priority="3"/>
  </conditionalFormatting>
  <hyperlinks>
    <hyperlink ref="C7" r:id="rId1" xr:uid="{E4BA8A3B-00E8-4DE3-BE95-BEE4573F1454}"/>
    <hyperlink ref="C8" r:id="rId2" xr:uid="{3538C77B-15F1-46E2-88A2-ADD08B953A75}"/>
    <hyperlink ref="C9" r:id="rId3" xr:uid="{D83F0411-E41C-4917-AA3C-D66DC92BBAD4}"/>
    <hyperlink ref="C10" r:id="rId4" xr:uid="{B5D5881C-12CD-4EDC-A2C2-76D13D6C45D2}"/>
    <hyperlink ref="C11" r:id="rId5" xr:uid="{860C14EF-854C-47DF-B8F9-B96A9D14FBFF}"/>
    <hyperlink ref="C12" r:id="rId6" xr:uid="{CA18069C-2D87-4819-9A93-AD34B67E0432}"/>
    <hyperlink ref="C13" r:id="rId7" xr:uid="{F3023F20-F51A-48F3-A9FF-A5D987486C0B}"/>
    <hyperlink ref="C14" r:id="rId8" xr:uid="{8D3A60AF-7726-4147-A217-8F47D56D703A}"/>
    <hyperlink ref="C15" r:id="rId9" xr:uid="{0739C875-19D5-41F0-B128-6AC030AD3160}"/>
    <hyperlink ref="C16" r:id="rId10" xr:uid="{594FB585-6D5A-4F29-B672-11ABC8415DA2}"/>
    <hyperlink ref="C17" r:id="rId11" xr:uid="{81E8DC43-CD68-42B3-97F7-340AA3EBDA0C}"/>
    <hyperlink ref="C18" r:id="rId12" xr:uid="{4C76A8E9-11A1-40E6-BC01-3EABB203D928}"/>
    <hyperlink ref="C19" r:id="rId13" xr:uid="{5696C09F-068D-4E44-B191-078786967AC8}"/>
    <hyperlink ref="C20" r:id="rId14" xr:uid="{D64DC5D1-A2BE-41AD-BD59-BB48F3B9B4A5}"/>
    <hyperlink ref="C21" r:id="rId15" xr:uid="{D83E66FF-1F4B-4F00-8534-6A859A3AAE8B}"/>
    <hyperlink ref="C22" r:id="rId16" xr:uid="{51C70037-89BA-4E94-B0FA-5908D8F12CB3}"/>
    <hyperlink ref="C23" r:id="rId17" xr:uid="{3EB12351-616E-4628-BC07-9BDCC907F61C}"/>
    <hyperlink ref="C24" r:id="rId18" xr:uid="{FFBC1F0A-687E-4BDA-907B-4F4C5E2890A4}"/>
    <hyperlink ref="C25" r:id="rId19" xr:uid="{E9A67605-0688-4A57-937C-D4C948F23129}"/>
    <hyperlink ref="C26" r:id="rId20" xr:uid="{5143E81E-C178-4C6D-86A7-30D13882060A}"/>
    <hyperlink ref="C27" r:id="rId21" xr:uid="{5CCE1CE7-5DE3-4D03-9DC7-E6A61EDE4DE7}"/>
    <hyperlink ref="C28" r:id="rId22" xr:uid="{EA4D62DC-550B-4D9D-BC5C-5C7AF890D415}"/>
    <hyperlink ref="C29" r:id="rId23" xr:uid="{6126BB3A-723A-4794-BC7A-B6CE30FACBDD}"/>
    <hyperlink ref="C30" r:id="rId24" xr:uid="{D25C8D2D-00CD-43D4-93F9-11FD2A55A780}"/>
    <hyperlink ref="C31" r:id="rId25" xr:uid="{7BA3B37C-93CE-4834-A21E-18D088F067CA}"/>
    <hyperlink ref="C32" r:id="rId26" xr:uid="{B4B0EF16-3BE8-466D-B742-DAB173903BA9}"/>
    <hyperlink ref="C33" r:id="rId27" xr:uid="{A33B0260-8787-4793-A64A-54998D7F701F}"/>
    <hyperlink ref="C34" r:id="rId28" xr:uid="{05BB1A4D-96E7-41A7-ADEF-DA655B70E2E5}"/>
    <hyperlink ref="C35" r:id="rId29" xr:uid="{A71F9C56-615C-4C90-A6F9-A7AA6068CB99}"/>
    <hyperlink ref="C36" r:id="rId30" xr:uid="{CEEAFD5F-F3A6-474E-B665-C9A485622361}"/>
    <hyperlink ref="C37" r:id="rId31" xr:uid="{30CA4E92-9393-4447-8FD9-5F6FAC574425}"/>
    <hyperlink ref="C38" r:id="rId32" xr:uid="{6501AAEC-427A-40AC-9C42-7BDA110D3EA0}"/>
    <hyperlink ref="C39" r:id="rId33" xr:uid="{F4FD7C46-7120-493A-B048-3E6B09BC29DD}"/>
    <hyperlink ref="C40" r:id="rId34" xr:uid="{4928B4D9-2AAD-412A-9CB0-9015376ABB6B}"/>
    <hyperlink ref="C41" r:id="rId35" xr:uid="{86910D99-915B-4D7D-8F68-F7DB3FEEDA65}"/>
    <hyperlink ref="C42" r:id="rId36" xr:uid="{EB215FC4-B004-4590-8942-E8A00186C009}"/>
    <hyperlink ref="C43" r:id="rId37" xr:uid="{597B5612-4E3A-44CC-A0F7-98B03D8CC671}"/>
    <hyperlink ref="C44" r:id="rId38" xr:uid="{149FC2F9-CF02-4E77-9680-EEF96A3F8026}"/>
    <hyperlink ref="C45" r:id="rId39" xr:uid="{3E750EA4-9B9F-412E-BC3D-724239E69D32}"/>
    <hyperlink ref="C46" r:id="rId40" xr:uid="{01942177-A924-474D-A3A1-F69D0869CCFF}"/>
    <hyperlink ref="C47" r:id="rId41" xr:uid="{FE6C494E-E540-4404-B2D7-37B3DCAE624F}"/>
    <hyperlink ref="C48" r:id="rId42" xr:uid="{C72208BF-A581-4A2E-B17D-684247A92FA5}"/>
    <hyperlink ref="C49" r:id="rId43" xr:uid="{B13639C8-0518-449A-A4FC-426D7FE7DD63}"/>
    <hyperlink ref="C50" r:id="rId44" xr:uid="{A1565068-F9BA-448F-ADCF-04C37E4FE695}"/>
    <hyperlink ref="C51" r:id="rId45" xr:uid="{857B1321-E625-459D-976F-476B0ED23B81}"/>
    <hyperlink ref="C52" r:id="rId46" xr:uid="{8651F90F-B448-426C-9232-B921B2C45D88}"/>
    <hyperlink ref="C53" r:id="rId47" xr:uid="{9BDC9A89-8B72-4245-8B37-B5C2C4DFCF4F}"/>
    <hyperlink ref="C54" r:id="rId48" xr:uid="{8968CEDC-4E3E-4C35-928B-B0181E3BB8AB}"/>
    <hyperlink ref="C55" r:id="rId49" xr:uid="{C10711AA-49BC-411A-B653-77E7ED20CB89}"/>
    <hyperlink ref="C56" r:id="rId50" xr:uid="{81430F8F-E187-4446-865F-B3E80A652E77}"/>
    <hyperlink ref="C57" r:id="rId51" xr:uid="{58571093-CBD0-46D3-BFFC-AB8C3A656021}"/>
    <hyperlink ref="C58" r:id="rId52" xr:uid="{8D048728-C3B3-4C61-A32C-EE8AA9C0837E}"/>
    <hyperlink ref="C59" r:id="rId53" xr:uid="{633509ED-652A-42CB-A011-3D18E57C11E7}"/>
    <hyperlink ref="C60" r:id="rId54" xr:uid="{507771B1-0664-4F52-AE63-7F2F280107D8}"/>
    <hyperlink ref="C61" r:id="rId55" xr:uid="{57B9CB7B-92AE-4C57-979F-F3EDC4DC42EB}"/>
    <hyperlink ref="C62" r:id="rId56" xr:uid="{2A342DA9-B471-4020-8187-CF8025CD0BDE}"/>
    <hyperlink ref="C63" r:id="rId57" xr:uid="{D5EC2B11-6BD0-4DDC-B964-A9FE2E9ADBD7}"/>
    <hyperlink ref="C64" r:id="rId58" xr:uid="{BE891DCB-F5A2-498C-BAF4-13E20B60C722}"/>
    <hyperlink ref="C65" r:id="rId59" xr:uid="{409CE519-51DA-4C33-A99D-87C7FBC45810}"/>
    <hyperlink ref="C66" r:id="rId60" xr:uid="{70CF5F42-8136-4D03-B38D-F1FABDC630A9}"/>
    <hyperlink ref="C67" r:id="rId61" xr:uid="{174E5FE2-AA42-46BC-B4E4-C5DB64AF3306}"/>
    <hyperlink ref="C68" r:id="rId62" xr:uid="{6B2249C8-5887-43A6-B487-58A499CBF69C}"/>
    <hyperlink ref="C69" r:id="rId63" xr:uid="{FFA06056-D425-402F-9879-22B932985450}"/>
    <hyperlink ref="C70" r:id="rId64" xr:uid="{381679BF-EA07-49DC-8C6F-2294A9F6E557}"/>
    <hyperlink ref="C71" r:id="rId65" xr:uid="{9CA200BA-1D15-40A3-89CD-07A5A6075054}"/>
    <hyperlink ref="C72" r:id="rId66" xr:uid="{D0B77F76-966E-405A-8F3F-76F647953600}"/>
    <hyperlink ref="C73" r:id="rId67" xr:uid="{1760FFEE-E3AC-4FC5-876E-B3A8540C5FD1}"/>
    <hyperlink ref="C74" r:id="rId68" xr:uid="{2C64D1E8-7DE2-4C9F-AF27-55A3D99B545B}"/>
    <hyperlink ref="C75" r:id="rId69" xr:uid="{1EC378F0-14F6-4CFE-84A3-B7974528E655}"/>
    <hyperlink ref="C76" r:id="rId70" xr:uid="{FCF92A94-5C0A-44C5-8FE5-A9AFA85BC097}"/>
    <hyperlink ref="C77" r:id="rId71" xr:uid="{97C8B8B3-F432-4BA9-840A-B3EC57E7C74E}"/>
    <hyperlink ref="C78" r:id="rId72" xr:uid="{644B247C-0590-4DD2-9D1B-3FBD0F85D536}"/>
    <hyperlink ref="C79" r:id="rId73" xr:uid="{D9D5FE77-1069-44B1-A3DC-BA077406F12B}"/>
    <hyperlink ref="C80" r:id="rId74" xr:uid="{BB455437-900C-41B2-93A0-CC8C67975917}"/>
    <hyperlink ref="C81" r:id="rId75" xr:uid="{822B5F97-490E-4A2B-AC7A-F844ED525208}"/>
    <hyperlink ref="C82" r:id="rId76" xr:uid="{FA8E2CA0-2E8C-4DA3-8BE2-DBF426471318}"/>
    <hyperlink ref="C83" r:id="rId77" xr:uid="{14032EC1-A251-4847-82E2-101BD107E0FD}"/>
    <hyperlink ref="C84" r:id="rId78" xr:uid="{779B1BFE-5874-4A10-BB2D-51AD235E15E8}"/>
    <hyperlink ref="C85" r:id="rId79" xr:uid="{30781335-1F32-46B1-8F13-0D8AB111557F}"/>
    <hyperlink ref="C86" r:id="rId80" xr:uid="{5292BB39-25D0-4519-B460-F21AF3C01405}"/>
    <hyperlink ref="C87" r:id="rId81" xr:uid="{CD6225BD-60A0-45AA-8FCD-49AE5DC0F557}"/>
    <hyperlink ref="C88" r:id="rId82" xr:uid="{805B6C78-D20C-41B5-915B-C33AF9988422}"/>
    <hyperlink ref="C89" r:id="rId83" xr:uid="{FFECBB12-5771-4BCD-AF64-EC421B3A2291}"/>
    <hyperlink ref="C91" r:id="rId84" xr:uid="{1C9B1AA8-8DC4-416A-BB5E-B4CC7D71691C}"/>
    <hyperlink ref="C92" r:id="rId85" xr:uid="{6CA92BAA-3690-437A-AA00-DD1965BCDA68}"/>
    <hyperlink ref="C93" r:id="rId86" xr:uid="{6F5DFAB7-FAFD-422E-A483-6BA8079C3890}"/>
    <hyperlink ref="C94" r:id="rId87" xr:uid="{D2C44407-1C6B-48FD-8E38-3D1082C2A00B}"/>
    <hyperlink ref="C95" r:id="rId88" xr:uid="{0F987832-86F4-4D9C-9688-113585013B99}"/>
    <hyperlink ref="C96" r:id="rId89" xr:uid="{AE6AF959-FF33-4C92-8BE3-8DC8C6D91E36}"/>
    <hyperlink ref="C97" r:id="rId90" xr:uid="{BDC0C599-F8FE-4CE8-9F28-113F8A2E87A3}"/>
    <hyperlink ref="C98" r:id="rId91" xr:uid="{2E61042B-88BC-45E1-9262-75625A21D83B}"/>
    <hyperlink ref="C99" r:id="rId92" xr:uid="{E4EB361A-07BF-45B7-916E-0850DB266C46}"/>
    <hyperlink ref="C100" r:id="rId93" xr:uid="{58B5F661-DEB7-4462-9B33-CDAB099C39E1}"/>
    <hyperlink ref="C101" r:id="rId94" xr:uid="{7DE73AFB-D5B8-49D4-9996-B474544BF111}"/>
    <hyperlink ref="C102" r:id="rId95" xr:uid="{B2430777-FCA0-40D4-9A2A-45674BF1ED61}"/>
    <hyperlink ref="C103" r:id="rId96" xr:uid="{4982A6F0-F2B6-4681-AE3D-F031208E07A1}"/>
    <hyperlink ref="C104" r:id="rId97" xr:uid="{05165D4F-9324-47A9-8023-30F1E73E3A1D}"/>
    <hyperlink ref="C105" r:id="rId98" xr:uid="{454609B6-7F46-4B13-9BE9-A2F31302E84D}"/>
    <hyperlink ref="C106" r:id="rId99" xr:uid="{51A19E60-D939-44B0-B56B-9613957D3ED6}"/>
    <hyperlink ref="C107" r:id="rId100" xr:uid="{A9373D97-8A9F-4CAB-8E9F-60F0D1A335DF}"/>
    <hyperlink ref="C108" r:id="rId101" xr:uid="{346F6F0D-8449-4D55-89B0-89E2D1441787}"/>
    <hyperlink ref="C109" r:id="rId102" xr:uid="{78A064A1-B5A2-4BB6-B9D3-026CCCE78BBD}"/>
    <hyperlink ref="C110" r:id="rId103" xr:uid="{4FDBDC24-B0C4-4A3A-A231-271520EF4D2B}"/>
    <hyperlink ref="C111" r:id="rId104" xr:uid="{82EBD856-5CF9-4DA0-AF8A-99BAA59ADE5A}"/>
    <hyperlink ref="C112" r:id="rId105" xr:uid="{71791ACF-62F3-4532-B45D-9C55EDFD64D5}"/>
    <hyperlink ref="C113" r:id="rId106" xr:uid="{7963E501-97A0-4ABA-A3AA-2B84CC37AABF}"/>
    <hyperlink ref="C114" r:id="rId107" xr:uid="{26D1AAAF-944C-46A1-B799-F72AF9246E62}"/>
    <hyperlink ref="C115" r:id="rId108" xr:uid="{B3577E57-8CBA-49D3-892F-DA41A96C3E68}"/>
    <hyperlink ref="C116" r:id="rId109" xr:uid="{2FEC930C-ED27-4636-828C-1AB982632906}"/>
    <hyperlink ref="C117" r:id="rId110" xr:uid="{24533F50-69D4-4EC3-9127-07F789A1BEB7}"/>
    <hyperlink ref="C118" r:id="rId111" xr:uid="{338096BD-0C83-4543-99BF-08F1985B52D4}"/>
    <hyperlink ref="C119" r:id="rId112" xr:uid="{A1778942-2926-451C-B4C3-DFAD1D33A5D8}"/>
    <hyperlink ref="C120" r:id="rId113" xr:uid="{C1BB489F-8B25-4795-9F83-156F278199F2}"/>
    <hyperlink ref="C121" r:id="rId114" xr:uid="{F926E1CC-0B40-4157-A8DE-1C073A46AF90}"/>
    <hyperlink ref="C133" r:id="rId115" xr:uid="{4A451E25-7148-4594-A98A-7F24DC0D42F8}"/>
    <hyperlink ref="C122" r:id="rId116" xr:uid="{160B4327-F166-466A-9348-25A55BB213AC}"/>
    <hyperlink ref="C123" r:id="rId117" xr:uid="{0D92C3B5-D21B-46A8-90B9-95B2ACC2D097}"/>
    <hyperlink ref="C124" r:id="rId118" xr:uid="{AD3E9A4E-85A1-4398-BB86-0CC7FC0A004F}"/>
    <hyperlink ref="C125" r:id="rId119" xr:uid="{5A33FBDA-93A4-4C39-99A3-5D91DC247320}"/>
    <hyperlink ref="C126" r:id="rId120" xr:uid="{C98FB93C-16BD-4270-9DA9-47B479047564}"/>
    <hyperlink ref="C127" r:id="rId121" xr:uid="{AE6236B3-C19B-49E4-9CEE-06FFAECEF518}"/>
    <hyperlink ref="C128" r:id="rId122" xr:uid="{F45D4103-75BC-441E-AE75-7766BB99E8E8}"/>
    <hyperlink ref="C129" r:id="rId123" xr:uid="{3AACC405-9549-4BE7-9423-8F35CF9EEAF9}"/>
    <hyperlink ref="C130" r:id="rId124" xr:uid="{91525A21-B7B4-422A-816F-5DE7CD23B9F8}"/>
    <hyperlink ref="C131" r:id="rId125" xr:uid="{87CABA67-EED9-4775-989C-586AAAF12576}"/>
    <hyperlink ref="C132" r:id="rId126" xr:uid="{BD0E35DD-53A1-454E-91D7-84D5D34F9A61}"/>
    <hyperlink ref="C134" r:id="rId127" xr:uid="{E58F8241-186F-4ED0-BC02-ACB58E3EFB3D}"/>
    <hyperlink ref="C135" r:id="rId128" xr:uid="{57590FDB-4D5A-436F-B257-95220526B859}"/>
    <hyperlink ref="C136" r:id="rId129" xr:uid="{C262ED68-B561-49C8-843B-3C08C5ACEF49}"/>
    <hyperlink ref="C137" r:id="rId130" xr:uid="{0AE4C4C6-B784-4946-A4FA-7388E1204743}"/>
    <hyperlink ref="C138" r:id="rId131" xr:uid="{632693F7-43BB-44B3-9B7A-F386A0220411}"/>
    <hyperlink ref="C139" r:id="rId132" xr:uid="{8C2C0F0B-8F1A-4B51-9991-76C3B5438C66}"/>
    <hyperlink ref="C140" r:id="rId133" xr:uid="{FC3201B5-107F-40C1-92DD-CC0BF0FC067C}"/>
    <hyperlink ref="C141" r:id="rId134" xr:uid="{9A7091DF-EE4D-4970-BF7A-C7AA6D2F2527}"/>
    <hyperlink ref="C142" r:id="rId135" xr:uid="{E1D332F4-1CD3-4FB4-A787-81FD1A8B8711}"/>
    <hyperlink ref="C143" r:id="rId136" xr:uid="{FA570A09-B7AD-4524-AA5B-40913DD3FA06}"/>
    <hyperlink ref="C144" r:id="rId137" xr:uid="{9719E3C3-3144-4A13-BAA9-8F744810B1AA}"/>
    <hyperlink ref="C145" r:id="rId138" xr:uid="{977779AE-01DE-4444-826E-91BA364F49C6}"/>
    <hyperlink ref="C146" r:id="rId139" xr:uid="{850E6F09-D4E8-4F9D-BD44-BB7A2E010BB6}"/>
    <hyperlink ref="C147" r:id="rId140" xr:uid="{2CBACD01-3E6A-4342-93F2-F99CB03B1384}"/>
    <hyperlink ref="C148" r:id="rId141" xr:uid="{32D434C6-7F39-4168-A4E1-4A3D8AA314C6}"/>
    <hyperlink ref="C149" r:id="rId142" xr:uid="{09E00D1F-55C8-4C0D-B4FC-461A4C1BE99A}"/>
    <hyperlink ref="C150" r:id="rId143" xr:uid="{E26F3D96-FC3B-4D46-A510-62E9129C9A75}"/>
    <hyperlink ref="C151" r:id="rId144" xr:uid="{AA887622-DB7C-4EAB-9E26-71C2C2BD8BD2}"/>
    <hyperlink ref="C152" r:id="rId145" xr:uid="{E2E78C61-4D5E-4057-8449-62C7DBE79D25}"/>
    <hyperlink ref="C153" r:id="rId146" xr:uid="{ADDEA53A-12F6-4BF7-BECA-0693D6814887}"/>
    <hyperlink ref="C154" r:id="rId147" xr:uid="{CA6D1E57-75DA-4CC8-910E-29F91366CB2A}"/>
    <hyperlink ref="C155" r:id="rId148" xr:uid="{FC2C3E6D-E4D9-43CE-B09A-75E4DDA8CF84}"/>
    <hyperlink ref="C156" r:id="rId149" xr:uid="{79B1863D-A552-4C61-919D-1FAEABB915B0}"/>
    <hyperlink ref="C157" r:id="rId150" xr:uid="{40ECB677-031B-4CD6-A18C-70917C4785D9}"/>
    <hyperlink ref="C158" r:id="rId151" xr:uid="{E763EBCD-8E4A-4D24-93B6-8A6B9F7649F4}"/>
    <hyperlink ref="C159" r:id="rId152" xr:uid="{111D3162-8592-48AA-9439-80D0CAA114E0}"/>
    <hyperlink ref="C160" r:id="rId153" xr:uid="{8684A03E-599D-44B6-9564-9133E6183A4E}"/>
    <hyperlink ref="C161" r:id="rId154" xr:uid="{D64F4AFD-17E6-4E89-9FF4-193B3C1ED98A}"/>
    <hyperlink ref="C162" r:id="rId155" xr:uid="{07A3F189-75FA-4FB1-B86E-ACD8B3B91AE4}"/>
    <hyperlink ref="C163" r:id="rId156" xr:uid="{7C5527D8-52FA-4357-84D2-968E7D0B5E80}"/>
    <hyperlink ref="C164" r:id="rId157" xr:uid="{044A3373-EFD2-4142-B506-D46B9A6D7288}"/>
    <hyperlink ref="C165" r:id="rId158" xr:uid="{591E72AF-8069-40B9-9CB3-8A321F0356F1}"/>
    <hyperlink ref="C166" r:id="rId159" xr:uid="{1A8DF44A-D8D1-430A-8C8E-3DBA84655751}"/>
    <hyperlink ref="C167" r:id="rId160" xr:uid="{B8AC7C9E-8D11-4C32-A3EC-DFB04F2DD97F}"/>
    <hyperlink ref="C168" r:id="rId161" xr:uid="{DF19678B-E0CF-4384-82F9-C7680FCA403A}"/>
    <hyperlink ref="C169" r:id="rId162" xr:uid="{AAC68681-8069-4E29-BA5A-D8C56F85513A}"/>
    <hyperlink ref="C170" r:id="rId163" xr:uid="{175D8DA9-A5C6-4516-AFD2-F58F65DC80D9}"/>
    <hyperlink ref="C171" r:id="rId164" xr:uid="{20E5C702-2065-4F16-8534-21457D74F2FF}"/>
    <hyperlink ref="C172" r:id="rId165" xr:uid="{CA113F62-F4F2-42AA-810F-5D1A5B71D5AE}"/>
    <hyperlink ref="C173" r:id="rId166" xr:uid="{66D25717-E58A-47EB-A958-7E461BF6722C}"/>
    <hyperlink ref="C174" r:id="rId167" xr:uid="{500CFA80-CD1F-4A12-8A13-42D39B7DF270}"/>
    <hyperlink ref="C175" r:id="rId168" xr:uid="{DEAF7194-BFF5-42FA-85FF-54BA73549678}"/>
    <hyperlink ref="C176" r:id="rId169" xr:uid="{BFDB831C-CC83-4589-98B2-3C0955527106}"/>
    <hyperlink ref="C177" r:id="rId170" xr:uid="{780A46FE-B37F-4AFC-AA5A-3ADDEE34687C}"/>
    <hyperlink ref="C178" r:id="rId171" xr:uid="{C3CDD375-0540-452E-823E-24A4A864D1A5}"/>
    <hyperlink ref="C179" r:id="rId172" xr:uid="{C43C7C2B-10DF-48EF-B081-6E5CA2571DCF}"/>
    <hyperlink ref="C180" r:id="rId173" xr:uid="{5C965C79-44B2-450C-BB19-3562395E74E8}"/>
    <hyperlink ref="C181" r:id="rId174" xr:uid="{FD7F887F-9DD8-46E7-96F4-989208334ED8}"/>
    <hyperlink ref="C182" r:id="rId175" xr:uid="{17380134-4D04-429D-B697-7EB74BC86D07}"/>
    <hyperlink ref="C183" r:id="rId176" xr:uid="{100D9B3F-1124-4CBD-A11F-9B140A8F4EF1}"/>
    <hyperlink ref="C184" r:id="rId177" xr:uid="{DCF25C4B-4312-432D-84BF-BCCAC51C22A5}"/>
    <hyperlink ref="C185" r:id="rId178" xr:uid="{132F1C64-43D2-4405-968B-3859869B4FEE}"/>
    <hyperlink ref="C186" r:id="rId179" xr:uid="{93B70602-0BCA-4D92-96EC-38717B57F2F9}"/>
    <hyperlink ref="C187" r:id="rId180" xr:uid="{C7E7759E-ABB6-4198-B591-40132569C1B0}"/>
    <hyperlink ref="C188" r:id="rId181" xr:uid="{8CB04202-9ED0-4723-A177-E20EF2DC2C8C}"/>
    <hyperlink ref="C189" r:id="rId182" xr:uid="{CE409BE7-612F-40F9-84A3-C4431A29D2DD}"/>
    <hyperlink ref="C190" r:id="rId183" xr:uid="{D11AADA7-4D4E-4896-B363-D4B4460D95BD}"/>
    <hyperlink ref="C191" r:id="rId184" xr:uid="{48C4C25A-08A3-4B3A-84F1-49B4A656632F}"/>
    <hyperlink ref="C192" r:id="rId185" xr:uid="{06D21CFE-8677-4C9E-ACCD-FF47DD160CAF}"/>
    <hyperlink ref="C194" r:id="rId186" xr:uid="{35DCF17C-3A35-4375-8A44-DE30079EBE99}"/>
    <hyperlink ref="C195" r:id="rId187" xr:uid="{0F56B9BB-1974-48C1-B301-E175483A945C}"/>
    <hyperlink ref="C196" r:id="rId188" xr:uid="{E08C6EB4-2188-4DB6-824F-A84DA43D8AC0}"/>
    <hyperlink ref="C197" r:id="rId189" xr:uid="{6C77DA36-3322-40A4-B03C-AB9786160A13}"/>
    <hyperlink ref="C198" r:id="rId190" xr:uid="{6A9DA796-8D2F-4360-889A-03602003A89D}"/>
    <hyperlink ref="C199" r:id="rId191" xr:uid="{C01DFE6D-2AAB-450D-9967-3191B21AA39F}"/>
    <hyperlink ref="C200" r:id="rId192" xr:uid="{0697AB71-E7EE-4591-B5B0-E867846E89D2}"/>
    <hyperlink ref="C201" r:id="rId193" xr:uid="{ED94A422-2E5A-47C2-8D00-4C10AD008F67}"/>
    <hyperlink ref="C202" r:id="rId194" xr:uid="{C801DEA5-5230-4C8A-A341-68B3F61BA402}"/>
    <hyperlink ref="C203" r:id="rId195" xr:uid="{C707ABA7-C997-4729-8B53-D4EF3DB37A8B}"/>
    <hyperlink ref="C204" r:id="rId196" xr:uid="{F6BBDBE8-720D-480A-956B-CC590B2248F3}"/>
    <hyperlink ref="C205" r:id="rId197" xr:uid="{4596664F-4BDB-4502-86D3-D835EC8DBA20}"/>
    <hyperlink ref="C206" r:id="rId198" xr:uid="{F21730D8-1FAE-40A5-A35D-E7D4331B9079}"/>
    <hyperlink ref="C207" r:id="rId199" xr:uid="{74C2DA3E-E22F-45BA-AEFA-5E0AD8C85640}"/>
    <hyperlink ref="C208" r:id="rId200" xr:uid="{02360253-4781-4F10-AB95-0456DB67DE8E}"/>
    <hyperlink ref="C209" r:id="rId201" xr:uid="{2AE741DD-BB57-4FB4-9A07-1D1173DB6410}"/>
    <hyperlink ref="C210" r:id="rId202" xr:uid="{E0A887A0-156F-4D55-8FC0-32A892559C48}"/>
    <hyperlink ref="C211" r:id="rId203" xr:uid="{BA50572C-D2B5-4E4B-8596-73A4C4971CC7}"/>
    <hyperlink ref="C212" r:id="rId204" xr:uid="{0E50AEA5-8585-4FEC-801B-4173027AC2D3}"/>
    <hyperlink ref="C213" r:id="rId205" xr:uid="{3A27306C-5DCE-4BF3-BCE0-E52E63503D42}"/>
    <hyperlink ref="C214" r:id="rId206" xr:uid="{2AF0E1D9-31D9-40C5-8EB7-EDA733960C2F}"/>
    <hyperlink ref="C215" r:id="rId207" xr:uid="{839193C7-76DB-4AC5-A16C-ABDF0912E26F}"/>
    <hyperlink ref="C216" r:id="rId208" xr:uid="{554EDA63-731E-4F1B-BC81-2C072F73D554}"/>
    <hyperlink ref="C217" r:id="rId209" xr:uid="{A5CCB5C6-8B26-4BC7-A409-E5742989D338}"/>
    <hyperlink ref="C218" r:id="rId210" xr:uid="{EAF3ACAF-0F6E-4757-B33E-664DC4BC03C5}"/>
    <hyperlink ref="C219" r:id="rId211" xr:uid="{D0D0A627-B634-4F32-BE44-18CB56C82875}"/>
    <hyperlink ref="C220" r:id="rId212" xr:uid="{989853FF-4A45-4076-AAA9-6BEB2F9DE20F}"/>
    <hyperlink ref="C221" r:id="rId213" xr:uid="{8BD42981-9ED0-4F2E-B13F-067CFCFBA4D4}"/>
    <hyperlink ref="C222" r:id="rId214" xr:uid="{693C3296-AF5B-461F-96B7-811A74CD70CB}"/>
    <hyperlink ref="C223" r:id="rId215" xr:uid="{F0E95B6C-9951-4198-8856-DEE009D21D0F}"/>
    <hyperlink ref="C224" r:id="rId216" xr:uid="{359BE1D4-16C3-4058-B963-D79865684387}"/>
    <hyperlink ref="C225" r:id="rId217" xr:uid="{E394E059-47FE-4C18-B30E-4B7823AA1F10}"/>
    <hyperlink ref="C226" r:id="rId218" xr:uid="{5E1401A5-F3A6-44B3-9D8D-D5FF1DE09336}"/>
    <hyperlink ref="C227" r:id="rId219" xr:uid="{E41CC7A7-075A-4556-83ED-3FA426A59683}"/>
    <hyperlink ref="C228" r:id="rId220" xr:uid="{B02F8EB6-68C2-4B37-B96C-01F815CE982B}"/>
    <hyperlink ref="C229" r:id="rId221" xr:uid="{6E7CD965-7ABC-4D4F-93B2-64382BA3F357}"/>
    <hyperlink ref="C230" r:id="rId222" xr:uid="{C1D7426E-F5E4-4741-96D4-123BE994DD22}"/>
    <hyperlink ref="C231" r:id="rId223" xr:uid="{67647B13-39F8-452F-BDA6-9DD19CA13BF0}"/>
    <hyperlink ref="C232" r:id="rId224" xr:uid="{C6149EAE-A249-413D-8281-01E32459F9EA}"/>
    <hyperlink ref="C233" r:id="rId225" xr:uid="{CDC0B043-9C94-45BD-B93F-8074AD56EC65}"/>
    <hyperlink ref="C234" r:id="rId226" xr:uid="{02B7059A-B086-4F71-8054-4F9BB47553D2}"/>
    <hyperlink ref="C235" r:id="rId227" xr:uid="{54E44EE5-A44A-4A67-9396-11CE3FCF8B49}"/>
    <hyperlink ref="C236" r:id="rId228" xr:uid="{AB6C824D-14D3-41C9-A85D-85FC8F43EC0C}"/>
    <hyperlink ref="C237" r:id="rId229" xr:uid="{25F5B94E-EA59-44A5-B751-6B95734D1B19}"/>
    <hyperlink ref="C238" r:id="rId230" xr:uid="{EBC1BC2A-623A-4FEC-BE2D-A29CC0B3F6FD}"/>
    <hyperlink ref="C239" r:id="rId231" xr:uid="{DAAD3366-6BB6-4B92-A627-212515F05B13}"/>
    <hyperlink ref="C240" r:id="rId232" xr:uid="{2FFBDEF1-FB43-4852-9BE6-855BC5192165}"/>
    <hyperlink ref="C241" r:id="rId233" xr:uid="{B8D956B3-D497-4A54-BA7F-5062B78D10D3}"/>
    <hyperlink ref="C242" r:id="rId234" xr:uid="{4FD84F29-6E1B-4884-AA07-4BAF04EB6320}"/>
    <hyperlink ref="C243" r:id="rId235" xr:uid="{16484B9E-528D-490A-A67E-B6236FA64C11}"/>
    <hyperlink ref="C244" r:id="rId236" xr:uid="{C069EE9C-5F11-4441-99CE-E6236E2CB47A}"/>
    <hyperlink ref="C245" r:id="rId237" xr:uid="{231BCEA5-495E-4B6B-AC19-AF9751B1317B}"/>
    <hyperlink ref="C246" r:id="rId238" xr:uid="{175981FC-E06A-4930-AEE2-DFFE95F38FA1}"/>
    <hyperlink ref="C247" r:id="rId239" xr:uid="{74CEB94F-E879-4ACD-B7A1-B7F7F0BEDA03}"/>
    <hyperlink ref="C248" r:id="rId240" xr:uid="{CA808859-1DC6-482E-A8E4-B2DBA2331A54}"/>
    <hyperlink ref="C249" r:id="rId241" xr:uid="{C3271EDF-A235-45CC-B86B-F8C1710B15BF}"/>
    <hyperlink ref="C250" r:id="rId242" xr:uid="{CE166EC1-7BAC-4CD1-B88F-CE3DD2C055A9}"/>
    <hyperlink ref="C251" r:id="rId243" xr:uid="{EB66F2F0-4A99-4388-82B3-DD5996A37303}"/>
    <hyperlink ref="C252" r:id="rId244" xr:uid="{7DD0E19C-8139-404F-A014-58D4B8673435}"/>
    <hyperlink ref="C253" r:id="rId245" xr:uid="{2CC94F40-CAAE-477A-9F86-7BA7EA8F89E3}"/>
    <hyperlink ref="C254" r:id="rId246" xr:uid="{2F05F04F-8486-4BD9-A8DF-6833471D1761}"/>
    <hyperlink ref="C255" r:id="rId247" xr:uid="{8A5A7AD3-A52C-4B6A-AA60-54C95B78248D}"/>
    <hyperlink ref="C256" r:id="rId248" xr:uid="{E6717013-0343-494B-B0BB-D22723F74E56}"/>
    <hyperlink ref="C257" r:id="rId249" xr:uid="{12D091C5-F023-4CA3-8BEC-C043AE6E1EAF}"/>
    <hyperlink ref="C258" r:id="rId250" xr:uid="{76DA8B72-025B-459B-BB1C-F24880FC66BE}"/>
    <hyperlink ref="C259" r:id="rId251" xr:uid="{958963FA-D44B-4D55-B378-528AA5D06897}"/>
    <hyperlink ref="C260" r:id="rId252" xr:uid="{6388D743-B545-4BD8-A2F4-F3AC10B27BAD}"/>
    <hyperlink ref="C261" r:id="rId253" xr:uid="{F82BF3E5-7517-45BF-8A86-569CD469F909}"/>
    <hyperlink ref="C262" r:id="rId254" xr:uid="{E718C647-8CAA-4E98-A316-5216CEE9D040}"/>
    <hyperlink ref="C263" r:id="rId255" xr:uid="{2A53CE5A-6360-4827-B341-281815756B7C}"/>
    <hyperlink ref="C264" r:id="rId256" xr:uid="{2AD50074-3980-48F2-8B35-54A4E32D3F60}"/>
    <hyperlink ref="C265" r:id="rId257" xr:uid="{195E2EB8-A4C9-42EE-BD4B-CAC52E70C3EE}"/>
    <hyperlink ref="C266" r:id="rId258" xr:uid="{3DEDE1D1-1B33-49B4-BF3A-21E8D796990F}"/>
    <hyperlink ref="C267" r:id="rId259" xr:uid="{349D2090-9BE9-4C51-AB7F-472B3792EF37}"/>
    <hyperlink ref="C268" r:id="rId260" xr:uid="{B8DE0F77-236C-4C6B-855A-770EA2A9F46D}"/>
    <hyperlink ref="C269" r:id="rId261" xr:uid="{604C757E-615E-457F-A76B-FCB0A0F33D9B}"/>
    <hyperlink ref="C270" r:id="rId262" xr:uid="{8874076F-455B-4E45-95E4-B93F99DF0079}"/>
    <hyperlink ref="C271" r:id="rId263" xr:uid="{D2FEF837-29F3-4D36-AB7C-B713B88335C8}"/>
    <hyperlink ref="C272" r:id="rId264" xr:uid="{06565C13-6D83-4040-98CA-9D734705C229}"/>
    <hyperlink ref="C273" r:id="rId265" xr:uid="{7B6EF134-FD0B-49BE-B27C-487FBD263A1E}"/>
    <hyperlink ref="C274" r:id="rId266" xr:uid="{B442A35D-9632-4C65-94FD-9D3BDA748B8D}"/>
    <hyperlink ref="C275" r:id="rId267" display="1" xr:uid="{07273E8E-E9B4-4B8F-BC00-B00EA28B78F0}"/>
    <hyperlink ref="C276" r:id="rId268" display="2" xr:uid="{750E7694-65D0-4036-89A3-42E5AC59858B}"/>
    <hyperlink ref="C277" r:id="rId269" xr:uid="{481D078E-95D2-4C3B-A0FC-756A39E28DCF}"/>
    <hyperlink ref="C278" r:id="rId270" xr:uid="{136CC6FC-8D8C-4EAE-8023-0618B9CAC828}"/>
    <hyperlink ref="C279" r:id="rId271" xr:uid="{F811102F-4487-40BB-B00E-81D98DAA75A9}"/>
    <hyperlink ref="C280" r:id="rId272" xr:uid="{8F7D0B11-B73E-4820-A232-4AA9FDF549DA}"/>
    <hyperlink ref="C281" r:id="rId273" xr:uid="{96042B1D-A194-4515-80EC-0B2B701ED221}"/>
    <hyperlink ref="C282" r:id="rId274" xr:uid="{F3378868-7B87-48AC-B87F-E978C772F4B7}"/>
    <hyperlink ref="C283" r:id="rId275" xr:uid="{5A7F060E-A423-4851-92E2-71013EDD8EBC}"/>
    <hyperlink ref="C284" r:id="rId276" xr:uid="{8D5BE3BB-A3C8-490C-93F2-2EEBB3F9C96D}"/>
    <hyperlink ref="C285" r:id="rId277" xr:uid="{F1EF659C-E439-4FF3-83BE-180AB0983B00}"/>
    <hyperlink ref="C286" r:id="rId278" xr:uid="{E6948BF4-1B3B-4842-AFC8-057FB29FBA62}"/>
    <hyperlink ref="C287" r:id="rId279" xr:uid="{98CB34CE-413C-4EB5-995E-FD6C14D93D06}"/>
    <hyperlink ref="C288" r:id="rId280" xr:uid="{196BB3B2-DCA4-4BBE-B157-5E9E15C30EF0}"/>
    <hyperlink ref="C289" r:id="rId281" xr:uid="{81798E04-5B25-4633-B112-2C9ED1733DCA}"/>
    <hyperlink ref="C290" r:id="rId282" xr:uid="{FA285B0C-4F0D-4F4A-8F24-9312BEB10347}"/>
    <hyperlink ref="C291" r:id="rId283" xr:uid="{EBFCE9BA-9DF7-4AA0-88A7-9BDFB3DA5F14}"/>
    <hyperlink ref="C292" r:id="rId284" xr:uid="{B6197EF5-F91A-4B42-A248-447C881287FC}"/>
    <hyperlink ref="C293" r:id="rId285" xr:uid="{74FCE2AA-E245-4318-A1F7-00EDE03517EB}"/>
    <hyperlink ref="C294" r:id="rId286" xr:uid="{E216BEF0-40FF-4D3F-9683-170D18766C58}"/>
    <hyperlink ref="C295" r:id="rId287" xr:uid="{E2D7BBA8-945D-498B-9D58-8EA044808681}"/>
    <hyperlink ref="C296" r:id="rId288" xr:uid="{6F6FC6DA-7B4E-4638-872A-09274270F0CD}"/>
    <hyperlink ref="C297" r:id="rId289" xr:uid="{F8F963E2-4A4C-42ED-9515-3E3FDCAA7E90}"/>
    <hyperlink ref="C298" r:id="rId290" xr:uid="{6C2B78B1-26F8-499E-BB1C-BA75C209E873}"/>
    <hyperlink ref="C299" r:id="rId291" xr:uid="{597FF104-20E3-4ECD-BFE9-7CF05C18D5D3}"/>
    <hyperlink ref="C300" r:id="rId292" xr:uid="{24806D05-C649-4ED7-8665-0E6B0ECEFEC1}"/>
    <hyperlink ref="C301" r:id="rId293" xr:uid="{EBD66DE6-FACE-4AC0-AC76-70EF281C4A57}"/>
    <hyperlink ref="C302" r:id="rId294" xr:uid="{8A3AB7AD-AE7B-444D-9F24-4079BF1F8ECD}"/>
    <hyperlink ref="C303" r:id="rId295" display="1" xr:uid="{638F2909-B632-4D10-B3F7-9B9EAD4EAE3A}"/>
    <hyperlink ref="C304" r:id="rId296" display="2" xr:uid="{8928C0EE-2715-4078-BFF2-7C09141B4EA2}"/>
    <hyperlink ref="C305" r:id="rId297" xr:uid="{884F7655-591F-4D5B-8D9C-ADF6A80C72E8}"/>
    <hyperlink ref="C306" r:id="rId298" xr:uid="{C09F29F1-F6C0-4C27-A965-02400E8C8E96}"/>
    <hyperlink ref="C307" r:id="rId299" xr:uid="{B4C645F3-15C5-44E0-BC12-DB9E5368DFE9}"/>
    <hyperlink ref="C308" r:id="rId300" xr:uid="{D9B2E7F8-94FB-4DFE-82AE-ACF33D33A91E}"/>
    <hyperlink ref="C309" r:id="rId301" xr:uid="{4894C543-2542-435E-A469-780C7870488C}"/>
    <hyperlink ref="C310" r:id="rId302" xr:uid="{C764DB27-50DE-418A-ADC4-C2FFF9C045F6}"/>
    <hyperlink ref="C311" r:id="rId303" xr:uid="{ED6D14DB-8DD6-4D57-B45D-F87028F0C2DB}"/>
    <hyperlink ref="C312" r:id="rId304" xr:uid="{3AF35E60-02D7-459C-8D39-B64C245B79BE}"/>
    <hyperlink ref="C313" r:id="rId305" xr:uid="{C694B369-C327-4651-A6DF-A317A2B32345}"/>
    <hyperlink ref="C314" r:id="rId306" xr:uid="{937CB6C8-0F70-4661-817C-CE538E31B68B}"/>
    <hyperlink ref="C315" r:id="rId307" xr:uid="{57B7E6E2-1CCF-4D57-A88A-23D9DA7C800E}"/>
    <hyperlink ref="C316" r:id="rId308" xr:uid="{7D97836A-58B7-4623-8097-B0A2F876DA20}"/>
    <hyperlink ref="C317" r:id="rId309" xr:uid="{963C53F5-5817-4EA0-86D4-1437C658BAFD}"/>
    <hyperlink ref="C318" r:id="rId310" xr:uid="{D2D63520-C35A-472C-AE79-516BCD7D3A13}"/>
    <hyperlink ref="C319" r:id="rId311" xr:uid="{1C44BC01-2AF0-40D4-9141-9A6CF38BB355}"/>
    <hyperlink ref="C321" r:id="rId312" xr:uid="{358981B6-5507-43C3-B4DD-6313A8A13F3E}"/>
    <hyperlink ref="C322" r:id="rId313" xr:uid="{F0BCC0F7-84D3-47C9-9D69-03AD74BF8A82}"/>
    <hyperlink ref="C323" r:id="rId314" xr:uid="{6EE94563-27D0-4E1D-9611-DC63A1DEA7F2}"/>
    <hyperlink ref="C324" r:id="rId315" xr:uid="{78A35C94-97B1-4AF4-8AA5-043CAD10BE56}"/>
    <hyperlink ref="C325" r:id="rId316" xr:uid="{CD519B70-07C5-4410-9F0A-77E63C1FEE35}"/>
    <hyperlink ref="C326" r:id="rId317" xr:uid="{EADC6390-B0CB-4287-B651-8567EE45B1FD}"/>
    <hyperlink ref="C327" r:id="rId318" xr:uid="{FB4CDA23-1BE0-4333-A2F6-8C88C983A8B0}"/>
    <hyperlink ref="C328" r:id="rId319" xr:uid="{FABE61CA-3290-4B22-8E76-82F515C3A1A3}"/>
    <hyperlink ref="C329" r:id="rId320" xr:uid="{1165A99F-3EDF-4B74-8E5E-0855C497A341}"/>
    <hyperlink ref="C330" r:id="rId321" xr:uid="{CB0ADE1A-2663-43DE-83CD-CF31C1022A39}"/>
    <hyperlink ref="C331" r:id="rId322" xr:uid="{1113C492-E940-45E0-BD14-ABAB637D1F75}"/>
    <hyperlink ref="C332" r:id="rId323" xr:uid="{C76B2135-AEAC-47D1-99FF-71CD88D837F9}"/>
    <hyperlink ref="C333" r:id="rId324" xr:uid="{82F109F3-E377-4BF9-A82E-CF456354FC24}"/>
    <hyperlink ref="C334" r:id="rId325" xr:uid="{83AB0893-BF0D-44AF-8BBA-B1F089066035}"/>
    <hyperlink ref="C335" r:id="rId326" xr:uid="{3AE150B7-D87D-4DD2-86FE-F7B02CBD123A}"/>
    <hyperlink ref="C336" r:id="rId327" xr:uid="{4EC1EBA5-114E-4F0E-83E9-4F9A618C2C91}"/>
    <hyperlink ref="C337" r:id="rId328" xr:uid="{F0A231DB-2815-46D5-BE48-8619C19C2057}"/>
    <hyperlink ref="C338" r:id="rId329" xr:uid="{729AD0B2-4443-4743-9404-AC8FF638F516}"/>
    <hyperlink ref="C339" r:id="rId330" xr:uid="{17EC23E9-F55F-4602-8C77-BFA0C6CC40C9}"/>
    <hyperlink ref="C340" r:id="rId331" display="1" xr:uid="{158FFA39-0802-4B2B-A45A-5ABFC303BBB3}"/>
    <hyperlink ref="C341" r:id="rId332" display="2" xr:uid="{4F7F399F-99B4-48F2-AA68-44846037D312}"/>
    <hyperlink ref="C342" r:id="rId333" xr:uid="{17BE6848-7554-49D1-BF4C-94017890E880}"/>
    <hyperlink ref="C343" r:id="rId334" xr:uid="{E7D70C75-E0C2-4213-8941-F1F5953EA39E}"/>
    <hyperlink ref="C344" r:id="rId335" xr:uid="{67E35DDC-DEF5-4148-89C6-678CC948CF04}"/>
    <hyperlink ref="C345" r:id="rId336" xr:uid="{057ECB39-5ADF-4016-9E6A-67DE7FEE3499}"/>
    <hyperlink ref="C346" r:id="rId337" xr:uid="{31F8AD78-947C-43BD-88E2-6944A63AAFA8}"/>
    <hyperlink ref="C347" r:id="rId338" xr:uid="{FA223539-2FD4-4879-BEA0-28CCF646CB5C}"/>
    <hyperlink ref="C348" r:id="rId339" xr:uid="{F5FE617D-335F-4F0D-8549-618B6AF5CC1B}"/>
    <hyperlink ref="C349" r:id="rId340" xr:uid="{201468AC-E68F-439C-96E6-55BB13D391D4}"/>
    <hyperlink ref="C350" r:id="rId341" xr:uid="{6BAACAEB-DFA2-48E4-8B58-E7EAE51653CA}"/>
    <hyperlink ref="C351" r:id="rId342" xr:uid="{3A683038-1FDF-49CF-B80F-949BD864E18C}"/>
    <hyperlink ref="C352" r:id="rId343" xr:uid="{5B10AC2B-2CFF-4E1E-820A-1924B5D46B73}"/>
    <hyperlink ref="C353" r:id="rId344" xr:uid="{2F36F233-50BE-4549-B317-2C70571E0303}"/>
    <hyperlink ref="C354" r:id="rId345" xr:uid="{C3BD71E9-2C55-4D87-A01F-D7FC84A7FC11}"/>
    <hyperlink ref="C355" r:id="rId346" xr:uid="{1E01CE4A-A454-4EB1-832E-2C3A0A007452}"/>
    <hyperlink ref="C356" r:id="rId347" xr:uid="{0B8A0EB6-DD2A-49D9-89E9-7707ADEB90EF}"/>
    <hyperlink ref="C357" r:id="rId348" xr:uid="{3FA69AE8-8108-42CA-A8C7-973F090FCFF0}"/>
    <hyperlink ref="C358" r:id="rId349" xr:uid="{FA5F4DBB-01F5-41FB-A5A9-55D3E7403E4D}"/>
    <hyperlink ref="C359" r:id="rId350" xr:uid="{BB24C543-ADEB-4F55-B955-BC3954A39931}"/>
    <hyperlink ref="C360" r:id="rId351" xr:uid="{DB5A7F67-EEED-4289-8750-6C70D5F9D4E9}"/>
    <hyperlink ref="C361" r:id="rId352" xr:uid="{6C643EBE-DBCE-4923-AC13-BE51D8FC9275}"/>
    <hyperlink ref="C362" r:id="rId353" xr:uid="{9EEEAEB7-F20F-40F8-82A1-92A8AE03968C}"/>
    <hyperlink ref="C363" r:id="rId354" xr:uid="{96D979CE-D785-4E81-999F-F6793280EBA5}"/>
    <hyperlink ref="C364" r:id="rId355" xr:uid="{AA94BFA0-8ECF-4B64-96A1-442BF9706FE3}"/>
    <hyperlink ref="C365" r:id="rId356" xr:uid="{A85508CB-3BC0-464B-AB69-5EFCA2D00902}"/>
    <hyperlink ref="C366" r:id="rId357" xr:uid="{063B47FE-DA67-4FB7-ADB6-098A7E72AC4C}"/>
    <hyperlink ref="C367" r:id="rId358" xr:uid="{C5BC2D25-6978-49D2-8357-FA9D2B446C55}"/>
    <hyperlink ref="C368" r:id="rId359" xr:uid="{09BF2A68-FF93-4D67-92F0-C7A7650FB467}"/>
    <hyperlink ref="C369" r:id="rId360" xr:uid="{5D7A33EA-3024-4AF7-BB5D-5535C1220D7B}"/>
    <hyperlink ref="C370" r:id="rId361" xr:uid="{33EED58D-EAB3-4195-B548-91D59E71636E}"/>
    <hyperlink ref="C371" r:id="rId362" xr:uid="{7EF34910-C437-4C39-9748-C879A6217223}"/>
    <hyperlink ref="C372" r:id="rId363" xr:uid="{AD5D4FBA-E126-4CE7-8FDA-3422FB3FA0F6}"/>
    <hyperlink ref="C373" r:id="rId364" xr:uid="{4FF9C55C-01B7-46F2-BE38-E163A21E9B8C}"/>
    <hyperlink ref="C374" r:id="rId365" xr:uid="{83922169-26DD-4266-91E8-532A6328C1C4}"/>
    <hyperlink ref="C375" r:id="rId366" xr:uid="{E468EDBF-BBCD-4A6A-A31C-0082103B1104}"/>
    <hyperlink ref="C376" r:id="rId367" xr:uid="{F2CD29E7-8AA2-428E-8415-38D257CBF156}"/>
    <hyperlink ref="C377" r:id="rId368" xr:uid="{0155327C-3243-4EBB-AD4D-FA6C78F4A9D0}"/>
    <hyperlink ref="C378" r:id="rId369" xr:uid="{814E431A-E97B-4950-8B3B-9E6BD152897E}"/>
    <hyperlink ref="C379" r:id="rId370" xr:uid="{59479A4C-626C-483B-9757-46C12B89098A}"/>
    <hyperlink ref="C380" r:id="rId371" xr:uid="{7B270E5F-20A9-42DB-82B3-9EFB0BFE7155}"/>
    <hyperlink ref="C381" r:id="rId372" xr:uid="{404F5C6C-9663-40BF-B8CA-167612338CEF}"/>
    <hyperlink ref="C382" r:id="rId373" xr:uid="{91ECB6B8-3179-4FF3-84E2-43E0E9037A10}"/>
    <hyperlink ref="C383" r:id="rId374" xr:uid="{A303760F-8901-4AFA-B28C-CBA54C79326D}"/>
    <hyperlink ref="C384" r:id="rId375" xr:uid="{880F7623-B8F1-4AB7-98D5-999E70E41E4C}"/>
    <hyperlink ref="C385" r:id="rId376" xr:uid="{299682A7-994F-4E64-977D-B28D9CA8537C}"/>
    <hyperlink ref="C386" r:id="rId377" xr:uid="{CCEF28DD-018D-49E2-806A-577656F5E605}"/>
    <hyperlink ref="C387" r:id="rId378" xr:uid="{38FCA5AD-E84A-48BC-B7A6-FC1D93FAB461}"/>
    <hyperlink ref="C389" r:id="rId379" xr:uid="{D49F4F87-A12B-46C5-8EF6-6C15D2F9190C}"/>
    <hyperlink ref="C390" r:id="rId380" xr:uid="{272EA308-0283-4CBF-8C26-B96290686493}"/>
    <hyperlink ref="C391" r:id="rId381" xr:uid="{93586AD6-8345-41F2-A630-2E6ECADFD446}"/>
    <hyperlink ref="C392" r:id="rId382" xr:uid="{7EB5C98C-F8CA-45F6-AB62-872E53FFDAED}"/>
    <hyperlink ref="C393" r:id="rId383" xr:uid="{BC94E521-552E-4889-A0E3-3968B37A4B24}"/>
    <hyperlink ref="C394" r:id="rId384" xr:uid="{06CF453C-AF07-458D-A781-88878E488AB5}"/>
    <hyperlink ref="C395" r:id="rId385" xr:uid="{AF5BF85E-B728-41C3-A5B3-33F62F8A8FDD}"/>
    <hyperlink ref="C396" r:id="rId386" xr:uid="{C45F1223-037D-4364-B9D5-7F7A4355CB50}"/>
    <hyperlink ref="C397" r:id="rId387" xr:uid="{74E545E0-5744-4C74-9A8E-86319EC71E0A}"/>
    <hyperlink ref="C398" r:id="rId388" xr:uid="{D3A73A5A-CD96-48B5-A045-74D0420F3F9D}"/>
    <hyperlink ref="C399" r:id="rId389" xr:uid="{75269DB0-AF8D-435C-9CFD-510820BC8077}"/>
    <hyperlink ref="C400" r:id="rId390" xr:uid="{9E3AFFAA-4994-499A-916F-5F6D4F561DDB}"/>
    <hyperlink ref="C401" r:id="rId391" xr:uid="{191BDE03-ACE9-479A-BC0B-5DAAFC67F505}"/>
    <hyperlink ref="C402" r:id="rId392" xr:uid="{8D302342-8946-4B95-9E81-978BBCF6CA55}"/>
    <hyperlink ref="C403" r:id="rId393" xr:uid="{9BE6B322-3A70-4E5C-8BB8-AFAF3272CC5E}"/>
    <hyperlink ref="C404" r:id="rId394" xr:uid="{8BD51539-A7BF-4D3D-AC2D-FD9E4ECC1983}"/>
    <hyperlink ref="C405" r:id="rId395" xr:uid="{3900F3AB-8734-4DCE-BE81-0F43033C8520}"/>
    <hyperlink ref="C406" r:id="rId396" xr:uid="{8AE3424F-C3D3-4871-B89A-1FF453B21ABF}"/>
    <hyperlink ref="C407" r:id="rId397" xr:uid="{7572F4C4-7794-4480-B3A8-55D126B635C5}"/>
    <hyperlink ref="C408" r:id="rId398" xr:uid="{3A626FB7-1052-4814-9ACE-17DB2CE128A7}"/>
    <hyperlink ref="C409" r:id="rId399" xr:uid="{E88B4C0E-8CEC-4DF9-A61D-B77CF5072365}"/>
    <hyperlink ref="C410" r:id="rId400" xr:uid="{96513336-1529-4593-BFEC-D2B123A260A0}"/>
    <hyperlink ref="C411" r:id="rId401" xr:uid="{A8CE2FB3-BFC4-47AD-9093-B4BF864A221C}"/>
    <hyperlink ref="C412" r:id="rId402" xr:uid="{3EF2A5B1-2BF0-4627-98C1-BEDB6A103A8F}"/>
    <hyperlink ref="C413" r:id="rId403" xr:uid="{6656DF99-C7BC-4CA6-BF94-764C8B65ACEC}"/>
    <hyperlink ref="C414" r:id="rId404" xr:uid="{414D6F55-91B5-4EBC-BC2C-A0AFB81051B8}"/>
    <hyperlink ref="C415" r:id="rId405" xr:uid="{8138E4B5-5A48-4CED-A96F-39FE85F74185}"/>
    <hyperlink ref="C416" r:id="rId406" xr:uid="{B1ECEA84-B218-4C63-B259-10C5D8B8FE72}"/>
    <hyperlink ref="C417" r:id="rId407" xr:uid="{8F8F16A4-190A-4B70-B52A-665A2539070D}"/>
    <hyperlink ref="C418" r:id="rId408" xr:uid="{506AF658-5196-4B7D-AFD1-8E8418401284}"/>
    <hyperlink ref="C419" r:id="rId409" xr:uid="{2F9A6796-661D-4913-960B-CF14FC576E07}"/>
    <hyperlink ref="C420" r:id="rId410" xr:uid="{CC8CBED1-EE8C-488F-A309-23CD3EFA9456}"/>
    <hyperlink ref="C421" r:id="rId411" xr:uid="{A08CC425-5482-42B7-9BFA-2565E7241CF4}"/>
    <hyperlink ref="C422" r:id="rId412" xr:uid="{88B12B12-97DD-4680-9211-F44D1E1BD849}"/>
    <hyperlink ref="C423" r:id="rId413" xr:uid="{4D069087-1620-4F6D-8C88-73C8FB58E2D8}"/>
    <hyperlink ref="C424" r:id="rId414" xr:uid="{D6FFA842-CB9C-480F-BD6A-BA85C9BE57B5}"/>
    <hyperlink ref="C425" r:id="rId415" xr:uid="{D427ED7D-6D99-4480-A77E-67F927F9604A}"/>
    <hyperlink ref="C426" r:id="rId416" xr:uid="{6E780B83-40CE-43BB-BF46-45C0DEBBC86E}"/>
    <hyperlink ref="C427" r:id="rId417" xr:uid="{25FAF616-5D00-46DD-B27B-9B7A30466B4D}"/>
    <hyperlink ref="C428" r:id="rId418" xr:uid="{8E5EC589-653B-4FB8-B578-18A8B99D15B5}"/>
    <hyperlink ref="C429" r:id="rId419" xr:uid="{91353772-09A7-4858-A7E3-6351BC49D2D8}"/>
    <hyperlink ref="C430" r:id="rId420" xr:uid="{1DB3D5E3-9587-4445-9017-9561EB120518}"/>
    <hyperlink ref="C431" r:id="rId421" xr:uid="{8E828321-3F11-4FF6-9004-77EECD53F771}"/>
    <hyperlink ref="C432" r:id="rId422" xr:uid="{8CCEBAA3-7006-43F3-A24C-1AA31C6EEFDD}"/>
    <hyperlink ref="C433" r:id="rId423" xr:uid="{DD218EAF-8460-4399-B61E-FA264216B444}"/>
    <hyperlink ref="C434" r:id="rId424" xr:uid="{FC88DA4B-3DA0-4DD9-A20A-23AE68838D56}"/>
    <hyperlink ref="C435" r:id="rId425" xr:uid="{08B3C707-61D8-4BD1-A53A-DE0EB6BAF263}"/>
    <hyperlink ref="C436" r:id="rId426" xr:uid="{99286488-4591-4AD8-AEC6-6644EF5F4017}"/>
    <hyperlink ref="C437" r:id="rId427" xr:uid="{7103949C-28C8-4A60-B152-D5D1D731367E}"/>
    <hyperlink ref="C438" r:id="rId428" xr:uid="{E04BBD64-BFB8-409E-AA4E-A02797C88EEC}"/>
    <hyperlink ref="C439" r:id="rId429" xr:uid="{DCF56200-ECFB-4F9E-85D2-996EF5D05ADB}"/>
    <hyperlink ref="C440" r:id="rId430" xr:uid="{A7C531B3-6C46-4376-B712-8C80BAEFD9E3}"/>
    <hyperlink ref="C441" r:id="rId431" xr:uid="{5424402D-114D-49E5-B9FE-C615D49EE3DE}"/>
    <hyperlink ref="C442" r:id="rId432" xr:uid="{56B0CE9F-E72C-46D6-9722-BCA92B1631C1}"/>
    <hyperlink ref="C443" r:id="rId433" xr:uid="{9B83847C-049A-4CB9-9D31-129349DBC3CF}"/>
    <hyperlink ref="C444" r:id="rId434" xr:uid="{97EF4119-0A2A-4844-9302-F4E6EA7CDB10}"/>
    <hyperlink ref="C445" r:id="rId435" xr:uid="{8565110C-E43D-4D1B-BAA9-3CC74AB69E3E}"/>
    <hyperlink ref="C446" r:id="rId436" xr:uid="{A35257CA-B1F6-40A3-9D1D-9893DCA43C19}"/>
    <hyperlink ref="C447" r:id="rId437" xr:uid="{811E0F2A-E07B-4548-A114-FE6EB1C2373C}"/>
    <hyperlink ref="C448" r:id="rId438" xr:uid="{48B5D8F6-9DF1-452C-8048-FA0B44F1FD73}"/>
    <hyperlink ref="C449" r:id="rId439" xr:uid="{4DBE91ED-D6A6-4D42-8FAC-F501FD573538}"/>
    <hyperlink ref="C450" r:id="rId440" xr:uid="{F14E5FD2-67AF-47DE-8CC0-7F2B36C82DF9}"/>
    <hyperlink ref="C451" r:id="rId441" xr:uid="{E8659E90-E424-493B-BDC1-A4DC406584DA}"/>
    <hyperlink ref="C452" r:id="rId442" xr:uid="{8F89294D-6C9C-4B61-925E-25CBFE3A6501}"/>
    <hyperlink ref="C453" r:id="rId443" xr:uid="{76DC93C0-D9C8-46E1-9F2C-6C3533905642}"/>
    <hyperlink ref="C454" r:id="rId444" xr:uid="{EA4724F5-8FDD-4A34-88A3-F9BFB3DC77F3}"/>
    <hyperlink ref="C455" r:id="rId445" xr:uid="{70FE83C9-2A9F-41E3-941A-63AC19C3C686}"/>
    <hyperlink ref="C456" r:id="rId446" xr:uid="{907A462E-1C9A-4744-B1BF-06B50CE8D6C2}"/>
    <hyperlink ref="C457" r:id="rId447" xr:uid="{9EE1E3C1-A60D-498F-B48E-CB539821680B}"/>
    <hyperlink ref="C458" r:id="rId448" xr:uid="{EA7190FB-629E-4E5B-BA11-EF7D99D533EB}"/>
    <hyperlink ref="C459" r:id="rId449" xr:uid="{97AD8C5F-2F9F-4FDF-AEB0-B5B9D3019475}"/>
    <hyperlink ref="C460" r:id="rId450" xr:uid="{2AD3BFFF-F273-40D9-8472-973A232FBBAC}"/>
    <hyperlink ref="C461" r:id="rId451" xr:uid="{55A3CABE-63F9-48B3-8E66-EFEF657CFB02}"/>
    <hyperlink ref="C462" r:id="rId452" xr:uid="{2426347D-8113-4984-B60A-B41E4BA74CAE}"/>
    <hyperlink ref="C463" r:id="rId453" xr:uid="{1CF89512-E331-43C6-AECD-6C230E63354F}"/>
    <hyperlink ref="C464" r:id="rId454" xr:uid="{10C111CD-1109-4D7E-97EF-2D037B1A6F42}"/>
    <hyperlink ref="C465" r:id="rId455" xr:uid="{E9BA21FB-80A7-48EE-9392-C00EF758C714}"/>
    <hyperlink ref="C466" r:id="rId456" xr:uid="{502B87C2-9A69-464D-9EF9-BA103B6EB356}"/>
    <hyperlink ref="C467" r:id="rId457" xr:uid="{06834C39-9A05-4494-8E20-3AA4CC5E21AC}"/>
    <hyperlink ref="C468" r:id="rId458" xr:uid="{CFB11D29-3C7E-4C93-82A3-41109D733665}"/>
    <hyperlink ref="C469" r:id="rId459" xr:uid="{E183F03C-50A5-4AE9-80FB-09FD692F5251}"/>
    <hyperlink ref="C470" r:id="rId460" xr:uid="{ED6066E8-A5D0-40F9-AC5D-FA30A75353B2}"/>
    <hyperlink ref="C471" r:id="rId461" xr:uid="{5B4EB40D-A941-48EA-8D2A-1C9744B0E4C2}"/>
    <hyperlink ref="C472" r:id="rId462" xr:uid="{5C50F962-4EC5-497C-BAA9-2CF75425EF09}"/>
    <hyperlink ref="C473" r:id="rId463" xr:uid="{55AFA73D-7861-4842-866A-6DF768FB3524}"/>
    <hyperlink ref="C474" r:id="rId464" xr:uid="{6B83444C-26EB-402A-BB9F-0EA081E1C5E1}"/>
    <hyperlink ref="C475" r:id="rId465" xr:uid="{A414210E-4F3F-42D8-A1B9-99841AC3BA3B}"/>
    <hyperlink ref="C476" r:id="rId466" xr:uid="{DFEA64AF-62BD-4948-B162-780F319D5473}"/>
    <hyperlink ref="C477" r:id="rId467" xr:uid="{64BFA9EC-29DC-4556-B613-5782F18ED839}"/>
    <hyperlink ref="C478" r:id="rId468" xr:uid="{F6BE6421-D6CB-4C5E-B617-35D3BD0EBAAA}"/>
    <hyperlink ref="C479" r:id="rId469" xr:uid="{4267F676-9B61-447C-BD84-003C9000C307}"/>
    <hyperlink ref="C480" r:id="rId470" xr:uid="{53D596AE-F7D8-4D08-A723-A6CF79BDC21E}"/>
    <hyperlink ref="C481" r:id="rId471" xr:uid="{D723F8EF-DEA0-4728-8C3E-7318548EC7E9}"/>
    <hyperlink ref="C482" r:id="rId472" xr:uid="{F0F8E1C8-21A3-492A-BA98-4EB51D4623D0}"/>
    <hyperlink ref="C483" r:id="rId473" xr:uid="{E743F145-E45B-464F-9145-B9230575C6B8}"/>
    <hyperlink ref="C484" r:id="rId474" xr:uid="{D4EB0E80-21D9-40E2-910A-FEA3660392BA}"/>
    <hyperlink ref="C485" r:id="rId475" xr:uid="{690A9E5C-9E47-4561-A420-F44FAA44EC56}"/>
    <hyperlink ref="C486" r:id="rId476" xr:uid="{F88C7306-9EBE-4B60-8398-9293907E360F}"/>
    <hyperlink ref="C487" r:id="rId477" xr:uid="{443F815B-000E-40EB-A156-57911062F595}"/>
    <hyperlink ref="C488" r:id="rId478" xr:uid="{000E28A8-1C1A-446F-B106-886E9073B74C}"/>
    <hyperlink ref="C489" r:id="rId479" xr:uid="{59E32779-7E32-46CA-A5F1-35AFFD19C29C}"/>
    <hyperlink ref="C490" r:id="rId480" xr:uid="{901538DD-FC61-4992-870B-5553CE4ACCC7}"/>
    <hyperlink ref="C491" r:id="rId481" xr:uid="{49149968-865E-4D77-A4E6-D7089AA2A1F9}"/>
    <hyperlink ref="C492" r:id="rId482" xr:uid="{85672835-19E1-4AF4-89B9-1FDF88774F8D}"/>
    <hyperlink ref="C493" r:id="rId483" xr:uid="{7F78BD39-8D2C-435A-AF86-78F394BA5F64}"/>
    <hyperlink ref="C494" r:id="rId484" xr:uid="{E7F916AC-CB08-4FAB-B0A4-5EFECF7BC32E}"/>
    <hyperlink ref="C495" r:id="rId485" xr:uid="{B309F328-778A-434F-B7A7-2C39139A878F}"/>
    <hyperlink ref="C496" r:id="rId486" xr:uid="{2D567C89-6A47-4DD9-B74B-0E6FC109BE95}"/>
    <hyperlink ref="C497" r:id="rId487" xr:uid="{F281BA8F-C368-4CDC-B7BE-B14E812E3EA0}"/>
    <hyperlink ref="C498" r:id="rId488" xr:uid="{73E43F9B-0A37-436A-A693-570BF376C0FF}"/>
    <hyperlink ref="C499" r:id="rId489" xr:uid="{07E83011-0C8D-48B6-89C9-2E824E00DEA8}"/>
    <hyperlink ref="C500" r:id="rId490" xr:uid="{A48D71B4-B942-4583-B57F-5B9388AE31B3}"/>
    <hyperlink ref="C501" r:id="rId491" xr:uid="{F94AEF5A-3152-4181-93CD-9CE147A2F27A}"/>
    <hyperlink ref="C502" r:id="rId492" xr:uid="{6840E533-FDD2-49AA-AFC7-A71CF3092879}"/>
    <hyperlink ref="C503" r:id="rId493" xr:uid="{B26D38B1-F545-47CD-8239-D1C708C3C400}"/>
    <hyperlink ref="C504" r:id="rId494" xr:uid="{93A623BE-018F-4ACD-8DB7-C11DADBF19B9}"/>
    <hyperlink ref="C505" r:id="rId495" xr:uid="{466C2535-211C-41AF-913A-D7FC56CAB5B1}"/>
    <hyperlink ref="C506" r:id="rId496" xr:uid="{C7A1EC17-1323-4A82-8DB6-92CB66354419}"/>
    <hyperlink ref="C507" r:id="rId497" xr:uid="{60A95B95-DA91-4668-BCD9-4A6D35666669}"/>
    <hyperlink ref="C508" r:id="rId498" xr:uid="{1582607D-B410-445E-B8AC-21E5E474E72E}"/>
    <hyperlink ref="C509" r:id="rId499" xr:uid="{9462F592-61C8-496C-808A-2B6ADF672208}"/>
    <hyperlink ref="C90" r:id="rId500" xr:uid="{C5124A9E-2204-4432-8979-85C6AC1C71EE}"/>
    <hyperlink ref="C193" r:id="rId501" xr:uid="{FC583462-8524-4C27-A93A-34BEC1DF7A73}"/>
    <hyperlink ref="C320" r:id="rId502" xr:uid="{0C98255E-4D0B-4922-A792-412DCE127134}"/>
    <hyperlink ref="AL316" r:id="rId503" xr:uid="{E0F1F13E-9577-480A-B7D8-71052938638E}"/>
    <hyperlink ref="AL317" r:id="rId504" xr:uid="{D80A63AA-08FE-4924-9402-AC7BDA5EDD5B}"/>
    <hyperlink ref="AL318" r:id="rId505" xr:uid="{B3D4AACF-4CE2-4413-9238-FEC2E352FCD6}"/>
    <hyperlink ref="AL319" r:id="rId506" xr:uid="{3D824D8C-87CC-45A0-9CAC-4ACBA997807E}"/>
    <hyperlink ref="AL321" r:id="rId507" xr:uid="{A42C09CE-BCEB-4912-A1CC-0272EFEDB478}"/>
    <hyperlink ref="AL322" r:id="rId508" xr:uid="{B34DF8B9-AD76-4E69-B7A6-CC659347D075}"/>
    <hyperlink ref="AL323" r:id="rId509" xr:uid="{FBFB43A9-D788-452B-B32B-1932D52A46E9}"/>
    <hyperlink ref="AL324" r:id="rId510" xr:uid="{3ED67B70-BC55-4F71-A8AF-BA8C95EE7D93}"/>
    <hyperlink ref="AL325" r:id="rId511" xr:uid="{75BDF035-2E23-4D6A-A93E-A93E731AEFEE}"/>
    <hyperlink ref="AL326" r:id="rId512" xr:uid="{519ABE99-9ED2-437E-AAE8-B736A40EF6AD}"/>
    <hyperlink ref="AL320" r:id="rId513" display="INSTRUCTION MANUAL (air ejctor type vacuum unit _PSA-1200#2).pdf" xr:uid="{B74384E0-55F5-4B90-AD90-0EB59606AB73}"/>
    <hyperlink ref="AS485" r:id="rId514" xr:uid="{A177C3E4-F115-4E43-A6F4-126EEF243022}"/>
    <hyperlink ref="AS481" r:id="rId515" xr:uid="{E78EFC1A-B810-4267-A81A-E766FB72BC5B}"/>
    <hyperlink ref="AS327" r:id="rId516" xr:uid="{EBAC9E06-78B9-46AA-937F-8F0A96FBCA6F}"/>
    <hyperlink ref="AS332" r:id="rId517" xr:uid="{58D1E82E-B999-4DCB-A363-1CB26340382E}"/>
    <hyperlink ref="AS331" r:id="rId518" xr:uid="{067DE297-BEAF-47E1-903C-008CB94DDB31}"/>
    <hyperlink ref="AS486" r:id="rId519" xr:uid="{8C414381-CC40-4964-8071-6783E4DD2134}"/>
    <hyperlink ref="AS487" r:id="rId520" xr:uid="{DF766946-C04F-4E77-A37F-DE76D21E545A}"/>
    <hyperlink ref="AS333" r:id="rId521" xr:uid="{674EB31E-45CE-42E2-B109-FD8EC1592CF4}"/>
    <hyperlink ref="AS489" r:id="rId522" xr:uid="{03AA1B2F-8B2C-4D94-ADD8-18BE8960C682}"/>
    <hyperlink ref="AS492" r:id="rId523" xr:uid="{119FC91A-AFF6-44F4-B469-FBDA9D548196}"/>
    <hyperlink ref="AS308" r:id="rId524" xr:uid="{A0B0D013-8410-4530-95E0-35A2573CB842}"/>
    <hyperlink ref="AS334" r:id="rId525" xr:uid="{C90E71D5-88D5-4E31-93C4-309FB6AD69FB}"/>
    <hyperlink ref="AS488" r:id="rId526" xr:uid="{2D7C479E-F3A3-4605-B76F-8DDEB99323DA}"/>
    <hyperlink ref="AS136" r:id="rId527" xr:uid="{B18EAAED-B675-4233-9ECC-24509BA923FE}"/>
    <hyperlink ref="AS248" r:id="rId528" xr:uid="{BCC87D2B-7174-4FC1-9C76-6035C9B951F7}"/>
    <hyperlink ref="AS417" r:id="rId529" xr:uid="{79FE0945-E888-4F0F-8A0B-2D1D8596F27C}"/>
    <hyperlink ref="AS93" r:id="rId530" xr:uid="{E7252630-A7D1-476D-81EE-CA9E6BB524C7}"/>
    <hyperlink ref="AS335" r:id="rId531" xr:uid="{84982714-54DA-49AB-B1A8-4318C4D4780D}"/>
    <hyperlink ref="AS19" r:id="rId532" xr:uid="{A9D59A29-FC35-4BB8-B9E4-61E1EC5B8FB8}"/>
    <hyperlink ref="AS94" r:id="rId533" xr:uid="{1AD555AE-771B-451E-A343-D1CFB27DCAA6}"/>
    <hyperlink ref="AS87" r:id="rId534" xr:uid="{EEDB13DE-6484-4C84-B562-D72ED434D6C3}"/>
    <hyperlink ref="AS220" r:id="rId535" xr:uid="{343F2AE4-9812-46CB-B043-DF40557CF6A4}"/>
    <hyperlink ref="AS271" r:id="rId536" xr:uid="{86F7FEE2-19B0-42A1-B65F-906A4A36B286}"/>
    <hyperlink ref="AS250" r:id="rId537" xr:uid="{D366F700-B44F-4AD2-8916-28A80134FA45}"/>
    <hyperlink ref="AS249" r:id="rId538" xr:uid="{15CE876D-F72B-4AB8-B7D5-0A4117DBA4CC}"/>
    <hyperlink ref="AS472" r:id="rId539" xr:uid="{CFF7DF5A-82A5-4FB8-9FCF-8292E02AAC88}"/>
    <hyperlink ref="AS90" r:id="rId540" xr:uid="{EA47E8EC-B977-4ECA-BBF1-5E6DE2785F70}"/>
    <hyperlink ref="AS98" r:id="rId541" xr:uid="{2C73C6FB-50CA-43A2-9849-71F47733D886}"/>
    <hyperlink ref="AS100" r:id="rId542" xr:uid="{832B3121-72BD-429F-A67C-4D1ADB57D3C3}"/>
    <hyperlink ref="AS99" r:id="rId543" xr:uid="{309310B7-C332-4E96-89F1-3B5625B2EDCF}"/>
    <hyperlink ref="AS101" r:id="rId544" xr:uid="{B2362BCD-54CB-4830-A676-B5EC627A7E17}"/>
    <hyperlink ref="AS292" r:id="rId545" xr:uid="{04A90766-B51F-4CF9-8C02-B9AC7E389CB4}"/>
    <hyperlink ref="AS293" r:id="rId546" xr:uid="{B349A205-7B8B-4F4D-BE72-899F47DC96BB}"/>
    <hyperlink ref="AS273" r:id="rId547" xr:uid="{101B36BE-045A-4712-94E3-FA9BBD2494D8}"/>
    <hyperlink ref="AS274" r:id="rId548" xr:uid="{16402DB7-786F-4756-9A8A-1BC84ED64595}"/>
    <hyperlink ref="AS244" r:id="rId549" xr:uid="{2C82C4FB-E133-4C9E-AAD1-35F81E239DA9}"/>
    <hyperlink ref="AS103" r:id="rId550" xr:uid="{9D959A08-5ADD-4E9B-9D4E-94BB257C32A8}"/>
    <hyperlink ref="AS295" r:id="rId551" xr:uid="{5D1D4F16-5E5C-4F5F-A011-C6DDD3022A48}"/>
    <hyperlink ref="AS89" r:id="rId552" xr:uid="{04EB6560-BD8F-460B-B5BD-E2C3939697BE}"/>
    <hyperlink ref="AS229" r:id="rId553" xr:uid="{D8F0E9D4-812B-4D80-9D7F-E70454B3ED15}"/>
    <hyperlink ref="AS254" r:id="rId554" xr:uid="{8EA03D51-066E-4DA2-A7EB-013D6E995B38}"/>
    <hyperlink ref="AS294" r:id="rId555" xr:uid="{099398ED-51C5-4A34-B6BC-CCF1B0154D08}"/>
    <hyperlink ref="AS353" r:id="rId556" xr:uid="{82B5F83C-8A2B-41F8-85B2-82E1285762DC}"/>
    <hyperlink ref="AS230" r:id="rId557" xr:uid="{D1943007-8466-453F-AD58-F40B35F6FED5}"/>
    <hyperlink ref="AS384" r:id="rId558" xr:uid="{D5BBD549-C76C-45C1-9A0E-8FB7BDAA515D}"/>
    <hyperlink ref="AS385" r:id="rId559" xr:uid="{3D1E6A7E-D89F-47AF-8239-E156DB969501}"/>
    <hyperlink ref="AS387" r:id="rId560" xr:uid="{0D321FC0-9986-4A5B-92E6-C15AB6470284}"/>
    <hyperlink ref="C388" r:id="rId561" xr:uid="{19B85653-433B-47AA-B5F9-371BF9D8ADE5}"/>
    <hyperlink ref="AS388" r:id="rId562" xr:uid="{CD23874C-1A5D-48A0-AA02-69CB66DA2EFC}"/>
    <hyperlink ref="AS47" r:id="rId563" xr:uid="{BB28AE99-5266-4FF6-9971-27A90DDB8BC6}"/>
    <hyperlink ref="AS474" r:id="rId564" xr:uid="{9B2D98A7-548D-4391-B74C-D778039EE466}"/>
    <hyperlink ref="AS115" r:id="rId565" xr:uid="{7CF4EFDD-0CED-46E5-A4D8-3D4AEE6D9215}"/>
    <hyperlink ref="AS475" r:id="rId566" xr:uid="{5F0AED40-B907-4814-82AF-268FC782FE2C}"/>
    <hyperlink ref="AS116" r:id="rId567" xr:uid="{2464CAFE-A826-4329-ACD2-8DA4FCA9ABA5}"/>
    <hyperlink ref="AS354" r:id="rId568" xr:uid="{3F1DE084-821E-45B3-91FB-98C75D8F40F9}"/>
    <hyperlink ref="AS88" r:id="rId569" xr:uid="{4BEBFB94-0AC5-439F-A1E1-0E4B0BB091DD}"/>
    <hyperlink ref="BE87" r:id="rId570" xr:uid="{43146FB6-7182-4E1A-8EA5-E2CB3796C9AA}"/>
    <hyperlink ref="BE481" r:id="rId571" xr:uid="{489215A1-97ED-4DC4-BFD6-432694E726ED}"/>
    <hyperlink ref="BE485" r:id="rId572" display="https://dasoulutions.sharepoint.com/:x:/r/sites/ANCHOOREDDATASOLUTIONS/_layouts/15/Doc.aspx?sourcedoc=%7BDDD42A42-A546-445D-BA0F-6DCB83BA51DB%7D&amp;file=SARANYA_2-1.%20AD086TI%20Operation%20and%20Maintenance%20Manual.pdf.xlsx&amp;action=default&amp;mobileredirect=true" xr:uid="{1DEC704F-7427-4BEE-B1D5-D1DC7B9086C4}"/>
    <hyperlink ref="BE486" r:id="rId573" xr:uid="{B805C734-3746-4CEE-9F22-8FC58C0B4C84}"/>
    <hyperlink ref="BE487" r:id="rId574" display="https://dasoulutions.sharepoint.com/:x:/r/sites/ANCHOOREDDATASOLUTIONS/_layouts/15/Doc.aspx?sourcedoc=%7BD99DA324-947D-4649-A1FC-2BF1D70732C3%7D&amp;file=SARANYA_3-1.%20Installation%20and%20maintenance%20for%20LSAM%2046.3.pdf.xlsx&amp;action=default&amp;mobileredirect=true" xr:uid="{984703E0-D941-4CF8-B8D9-83E8D6D27C87}"/>
    <hyperlink ref="BE488" r:id="rId575" xr:uid="{4044A9E2-CB45-4DFC-BAA3-81C5F50BFE9F}"/>
    <hyperlink ref="BE489" r:id="rId576" xr:uid="{9D790B70-A965-41F9-A949-8CD478FC7772}"/>
    <hyperlink ref="BE492" r:id="rId577" xr:uid="{40D1B0E2-8496-4090-9AF0-93DFD079EE9B}"/>
    <hyperlink ref="AS309" r:id="rId578" xr:uid="{C49FE91F-CE8D-4D94-83C0-FF8711487B9A}"/>
    <hyperlink ref="BE19" r:id="rId579" xr:uid="{3F26883F-DAA2-40B0-B139-99A933C3AFE5}"/>
    <hyperlink ref="AS312" r:id="rId580" xr:uid="{132EF65A-C192-450C-8765-F955A3164961}"/>
    <hyperlink ref="AS313" r:id="rId581" xr:uid="{175019B0-2FD7-43B9-B75E-A3B0A9F96ACB}"/>
    <hyperlink ref="AS92" r:id="rId582" xr:uid="{CB7AFDAD-EC46-4A24-A99B-2A4B74347909}"/>
  </hyperlinks>
  <pageMargins left="0.7" right="0.7" top="0.75" bottom="0.75" header="0.3" footer="0.3"/>
  <legacyDrawing r:id="rId58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896938-dd60-45b7-b2f2-7536276922cf">
      <Terms xmlns="http://schemas.microsoft.com/office/infopath/2007/PartnerControls"/>
    </lcf76f155ced4ddcb4097134ff3c332f>
    <TaxCatchAll xmlns="dd4d6b07-3fbf-4e61-b620-24a77d2d48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19AFCF114E3B48B04CADF98DF991EA" ma:contentTypeVersion="13" ma:contentTypeDescription="Create a new document." ma:contentTypeScope="" ma:versionID="f9641f06a7d06266d9cb0d941dcbaea8">
  <xsd:schema xmlns:xsd="http://www.w3.org/2001/XMLSchema" xmlns:xs="http://www.w3.org/2001/XMLSchema" xmlns:p="http://schemas.microsoft.com/office/2006/metadata/properties" xmlns:ns2="c0896938-dd60-45b7-b2f2-7536276922cf" xmlns:ns3="dd4d6b07-3fbf-4e61-b620-24a77d2d4866" targetNamespace="http://schemas.microsoft.com/office/2006/metadata/properties" ma:root="true" ma:fieldsID="4132867aad8c65724ae239e684675fd2" ns2:_="" ns3:_="">
    <xsd:import namespace="c0896938-dd60-45b7-b2f2-7536276922cf"/>
    <xsd:import namespace="dd4d6b07-3fbf-4e61-b620-24a77d2d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96938-dd60-45b7-b2f2-7536276922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432ac99-62db-42f0-8792-279376d0c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d6b07-3fbf-4e61-b620-24a77d2d48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b9c3334-cf48-462f-8f04-00d267813817}" ma:internalName="TaxCatchAll" ma:showField="CatchAllData" ma:web="dd4d6b07-3fbf-4e61-b620-24a77d2d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72075C-9504-444A-8A47-A1088F34A160}">
  <ds:schemaRefs>
    <ds:schemaRef ds:uri="http://schemas.microsoft.com/office/2006/metadata/properties"/>
    <ds:schemaRef ds:uri="http://schemas.microsoft.com/office/infopath/2007/PartnerControls"/>
    <ds:schemaRef ds:uri="c0896938-dd60-45b7-b2f2-7536276922cf"/>
    <ds:schemaRef ds:uri="dd4d6b07-3fbf-4e61-b620-24a77d2d4866"/>
  </ds:schemaRefs>
</ds:datastoreItem>
</file>

<file path=customXml/itemProps2.xml><?xml version="1.0" encoding="utf-8"?>
<ds:datastoreItem xmlns:ds="http://schemas.openxmlformats.org/officeDocument/2006/customXml" ds:itemID="{1C8EB190-0FE9-480E-902D-4D3AA5955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896938-dd60-45b7-b2f2-7536276922cf"/>
    <ds:schemaRef ds:uri="dd4d6b07-3fbf-4e61-b620-24a77d2d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4AE058-BFA3-449E-935D-4250485C70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 Sheet(12-09-2026)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Achin</dc:creator>
  <cp:keywords/>
  <dc:description/>
  <cp:lastModifiedBy>Sathishkumar</cp:lastModifiedBy>
  <cp:revision/>
  <dcterms:created xsi:type="dcterms:W3CDTF">2025-05-28T11:58:44Z</dcterms:created>
  <dcterms:modified xsi:type="dcterms:W3CDTF">2026-09-18T06:34:12Z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0x0101009C19AFCF114E3B48B04CADF98DF991EA</vt:lpwstr>
  </property>
  <property fmtid="{D5CDD505-2E9C-101B-9397-08002B2CF9AE}" pid="3" name="Order">
    <vt:r8>3694300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{"FileActivityType":"9","FileActivityTimeStamp":"2025-12-18T05:30:17.210Z","FileActivityUsersOnPage":[{"DisplayName":"Suyambhu Hasan","Id":"suyambuhasan@dataanchor.world"},{"DisplayName":"Sonu Kumar Thakur","Id":"sonu@dataanchor.world"}],"FileActivityNavigationId":null}</vt:lpwstr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